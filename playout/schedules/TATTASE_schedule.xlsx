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unning Order" sheetId="2" state="visible" r:id="rId4"/>
    <sheet name="24h Log" sheetId="3" state="visible" r:id="rId5"/>
    <sheet name="EPG" sheetId="4" state="visible" r:id="rId6"/>
    <sheet name="Play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Assumed: content available now, channel created at 20:20 WAT on 30 Sep 2026 (next 5 minutes after the request). Change this and every time in the workbook moves. Set it to 06:00 to match the source sheet.</t>
        </r>
      </text>
    </comment>
    <comment ref="B10" authorId="0">
      <text>
        <r>
          <rPr>
            <sz val="10"/>
            <rFont val="Arial"/>
            <family val="2"/>
          </rPr>
          <t xml:space="preserve">From the source sheet: first item 6:00AM, last item 6:01:04PM. The sheet did not list the last montage's end, so this excludes its 10 s.</t>
        </r>
      </text>
    </comment>
  </commentList>
</comments>
</file>

<file path=xl/sharedStrings.xml><?xml version="1.0" encoding="utf-8"?>
<sst xmlns="http://schemas.openxmlformats.org/spreadsheetml/2006/main" count="975" uniqueCount="444">
  <si>
    <t xml:space="preserve">TATTASE TV — playout schedule</t>
  </si>
  <si>
    <t xml:space="preserve">Built from TATTASE_8HRS.xlsx. All times are Lagos time (WAT).</t>
  </si>
  <si>
    <t xml:space="preserve">Channel start (WAT)</t>
  </si>
  <si>
    <t xml:space="preserve">Loop length (included items)</t>
  </si>
  <si>
    <t xml:space="preserve">Loop restarts at</t>
  </si>
  <si>
    <t xml:space="preserve">Loops per 24 hours</t>
  </si>
  <si>
    <t xml:space="preserve">Items in running order</t>
  </si>
  <si>
    <t xml:space="preserve">Items included</t>
  </si>
  <si>
    <t xml:space="preserve">Source sheet clock (6:00am to last item)</t>
  </si>
  <si>
    <t xml:space="preserve">Real running time vs source sheet clock</t>
  </si>
  <si>
    <t xml:space="preserve">Type</t>
  </si>
  <si>
    <t xml:space="preserve">Items</t>
  </si>
  <si>
    <t xml:space="preserve">Running time</t>
  </si>
  <si>
    <t xml:space="preserve">Share</t>
  </si>
  <si>
    <t xml:space="preserve">Programme</t>
  </si>
  <si>
    <t xml:space="preserve">Short</t>
  </si>
  <si>
    <t xml:space="preserve">Commercial</t>
  </si>
  <si>
    <t xml:space="preserve">Promo</t>
  </si>
  <si>
    <t xml:space="preserve">Sting</t>
  </si>
  <si>
    <t xml:space="preserve">Montage</t>
  </si>
  <si>
    <t xml:space="preserve">Total</t>
  </si>
  <si>
    <t xml:space="preserve">Commercial minutes per hour</t>
  </si>
  <si>
    <t xml:space="preserve">Type is my best guess from the title and length. Change any row in Running Order and this table updates.</t>
  </si>
  <si>
    <t xml:space="preserve">What to know</t>
  </si>
  <si>
    <t xml:space="preserve">1. The source sheet's clock is short. Its times run 6:00am to 6:01pm (12h), but the file durations add up to about 12h 58m.</t>
  </si>
  <si>
    <t xml:space="preserve">   Rows 47 (10 Foods to Cut Down, repeat, 23m 25s) and 54 (Green Fields Africa Lekki Farms, 24m 03s) were given only seconds; that hides ~47 min.</t>
  </si>
  <si>
    <t xml:space="preserve">   Channel Engine plays the files back to back, so the durations decide the real times. See "Actual vs sheet" in Running Order.</t>
  </si>
  <si>
    <t xml:space="preserve">2. Because the loop is ~12h 58m, not 12h, programmes will not air at the same clock time each day: each one airs about 1h 56m later than the day before.</t>
  </si>
  <si>
    <t xml:space="preserve">   To lock it to a 12h grid, trim ~58 min. Example: set Include = N on the second airing of Agro Food Day 1 (#147) and Osetigo Ep 1 (#154); together ~60 min.</t>
  </si>
  <si>
    <t xml:space="preserve">3. Fixes made while reading: one duration typed as 00:38 (h:mm) read as 38 s (#134); one duration with a stray "-" (#34);</t>
  </si>
  <si>
    <t xml:space="preserve">   times typed "am" in the afternoon read as pm (#142-147); times with both PM and AM read as PM.</t>
  </si>
  <si>
    <t xml:space="preserve">4. The 40 stings (6-8 s) and 29 montages (10 s) are separate files. Very short files can stutter in Channel Engine: test a few,</t>
  </si>
  <si>
    <t xml:space="preserve">   or join each sting/montage onto the start of the programme that follows it before uploading.</t>
  </si>
  <si>
    <t xml:space="preserve">5. The commercials are paid spots baked into the running order. When server-side ad insertion comes in, these slots become ad breaks.</t>
  </si>
  <si>
    <t xml:space="preserve">#</t>
  </si>
  <si>
    <t xml:space="preserve">Include (Y/N)</t>
  </si>
  <si>
    <t xml:space="preserve">Item</t>
  </si>
  <si>
    <t xml:space="preserve">Duration</t>
  </si>
  <si>
    <t xml:space="preserve">Start (WAT)</t>
  </si>
  <si>
    <t xml:space="preserve">End (WAT)</t>
  </si>
  <si>
    <t xml:space="preserve">Sheet time (as typed)</t>
  </si>
  <si>
    <t xml:space="preserve">Sheet time (read as)</t>
  </si>
  <si>
    <t xml:space="preserve">Actual vs sheet (min)</t>
  </si>
  <si>
    <t xml:space="preserve">Bunny HLS URL (fill in)</t>
  </si>
  <si>
    <t xml:space="preserve">Notes</t>
  </si>
  <si>
    <t xml:space="preserve">Y</t>
  </si>
  <si>
    <t xml:space="preserve">ORIGINAL SHOWS UPDATED</t>
  </si>
  <si>
    <t xml:space="preserve">6:00AM</t>
  </si>
  <si>
    <t xml:space="preserve">KIVO HOT PEPPER COMMERCIAL</t>
  </si>
  <si>
    <t xml:space="preserve">6:04:16am</t>
  </si>
  <si>
    <t xml:space="preserve">COLGATE TOOTHPASTE</t>
  </si>
  <si>
    <t xml:space="preserve">6:05:01am</t>
  </si>
  <si>
    <t xml:space="preserve">CHANNEL MONTAGE</t>
  </si>
  <si>
    <t xml:space="preserve">6:05:31am</t>
  </si>
  <si>
    <t xml:space="preserve">SIX DELICIOUS STEPS OF ENJOYING A PLATE OF INDOMIE</t>
  </si>
  <si>
    <t xml:space="preserve">6:05:41am</t>
  </si>
  <si>
    <t xml:space="preserve">GREEN FIELD AFRICA`COMING SOON</t>
  </si>
  <si>
    <t xml:space="preserve">6:06:40am</t>
  </si>
  <si>
    <t xml:space="preserve">ADESUA AND VIVA</t>
  </si>
  <si>
    <t xml:space="preserve">6:07:14am</t>
  </si>
  <si>
    <t xml:space="preserve">TATTASE TV COFFEE STING</t>
  </si>
  <si>
    <t xml:space="preserve">6:08:53am</t>
  </si>
  <si>
    <t xml:space="preserve">TASTE OF GHANA</t>
  </si>
  <si>
    <t xml:space="preserve">6:09:02am</t>
  </si>
  <si>
    <t xml:space="preserve">BUKAS AND JOINT</t>
  </si>
  <si>
    <t xml:space="preserve">6:09:28am</t>
  </si>
  <si>
    <t xml:space="preserve">Tattasetv sting</t>
  </si>
  <si>
    <t xml:space="preserve">6:11:35am</t>
  </si>
  <si>
    <t xml:space="preserve">10 FOODS TO CUT DOWN ON FOR A HEALTHY WEIGHT</t>
  </si>
  <si>
    <t xml:space="preserve">6:11:41am</t>
  </si>
  <si>
    <t xml:space="preserve">CLOSE UP FOR TV COMMERCIALS</t>
  </si>
  <si>
    <t xml:space="preserve">6:35:06am</t>
  </si>
  <si>
    <t xml:space="preserve">KNOR GOOD JOLLOF</t>
  </si>
  <si>
    <t xml:space="preserve">6:35:36am</t>
  </si>
  <si>
    <t xml:space="preserve">6:36:27am</t>
  </si>
  <si>
    <t xml:space="preserve">BREAKFAST AFRICA</t>
  </si>
  <si>
    <t xml:space="preserve">6:36:37am</t>
  </si>
  <si>
    <t xml:space="preserve">FOOD TOURS</t>
  </si>
  <si>
    <t xml:space="preserve">6:37:15am</t>
  </si>
  <si>
    <t xml:space="preserve">FOOD FARM FOR TV</t>
  </si>
  <si>
    <t xml:space="preserve">6:37:48am</t>
  </si>
  <si>
    <t xml:space="preserve">AFTER DARK COMING SOON</t>
  </si>
  <si>
    <t xml:space="preserve">6:38:47am</t>
  </si>
  <si>
    <t xml:space="preserve">ARIEL DETERGENT COMMERCIAL</t>
  </si>
  <si>
    <t xml:space="preserve">6:39:17am</t>
  </si>
  <si>
    <t xml:space="preserve">malta ramadan parsley yam balls</t>
  </si>
  <si>
    <t xml:space="preserve">6:41:37am</t>
  </si>
  <si>
    <t xml:space="preserve">6:41:47am</t>
  </si>
  <si>
    <t xml:space="preserve">LIPTON FLAVOUR</t>
  </si>
  <si>
    <t xml:space="preserve">6:41:51am</t>
  </si>
  <si>
    <t xml:space="preserve">CROWN PASTA SPAG BOLOG</t>
  </si>
  <si>
    <t xml:space="preserve">6:41:57am</t>
  </si>
  <si>
    <t xml:space="preserve">TATTASE CHIPS STING</t>
  </si>
  <si>
    <t xml:space="preserve">6:42:05am</t>
  </si>
  <si>
    <t xml:space="preserve">ABUJA NYSC CAMP</t>
  </si>
  <si>
    <t xml:space="preserve">6:42:13am</t>
  </si>
  <si>
    <t xml:space="preserve">FAB FOR TV</t>
  </si>
  <si>
    <t xml:space="preserve">6:42:47am</t>
  </si>
  <si>
    <t xml:space="preserve">6:43:21am</t>
  </si>
  <si>
    <t xml:space="preserve">LUNCH BOX COMING SOON</t>
  </si>
  <si>
    <t xml:space="preserve">6:43:27am</t>
  </si>
  <si>
    <t xml:space="preserve">BAKES N CAKES MONTAGE</t>
  </si>
  <si>
    <t xml:space="preserve">6:43:52am</t>
  </si>
  <si>
    <t xml:space="preserve">GREEN FIELDS AFRICA COMING SOON</t>
  </si>
  <si>
    <t xml:space="preserve">6:44:15am</t>
  </si>
  <si>
    <t xml:space="preserve">6:44:39am</t>
  </si>
  <si>
    <t xml:space="preserve">COCACOLA RECIPE</t>
  </si>
  <si>
    <t xml:space="preserve">6:44:49am</t>
  </si>
  <si>
    <t xml:space="preserve">URBAN KITCHEN SHOW NEW</t>
  </si>
  <si>
    <t xml:space="preserve">6:45:19am</t>
  </si>
  <si>
    <t xml:space="preserve">duration had a stray "-"</t>
  </si>
  <si>
    <t xml:space="preserve">VEGAN DIARIES REAL</t>
  </si>
  <si>
    <t xml:space="preserve">6:46:18am</t>
  </si>
  <si>
    <t xml:space="preserve">FOOD MART</t>
  </si>
  <si>
    <t xml:space="preserve">6:46:55am</t>
  </si>
  <si>
    <t xml:space="preserve">TATTASE COFFEE STINGS</t>
  </si>
  <si>
    <t xml:space="preserve">6:47:32am</t>
  </si>
  <si>
    <t xml:space="preserve">AJINOMOTO EGG SAUCE AND BOILED YAM</t>
  </si>
  <si>
    <t xml:space="preserve">6:47:40am</t>
  </si>
  <si>
    <t xml:space="preserve">6:51:37am</t>
  </si>
  <si>
    <t xml:space="preserve">THE TRUTH ABOUT NETWORK MARKETING NO-ONE TELLS YOU</t>
  </si>
  <si>
    <t xml:space="preserve">6:51:43am</t>
  </si>
  <si>
    <t xml:space="preserve">BOLEFEST X MALTA GUINESS TV</t>
  </si>
  <si>
    <t xml:space="preserve">6:56:02am</t>
  </si>
  <si>
    <t xml:space="preserve">BAKERACE TV</t>
  </si>
  <si>
    <t xml:space="preserve">6:57:53am</t>
  </si>
  <si>
    <t xml:space="preserve">RECIPE AFRICA</t>
  </si>
  <si>
    <t xml:space="preserve">6:59:22am</t>
  </si>
  <si>
    <t xml:space="preserve">6:59:44am</t>
  </si>
  <si>
    <t xml:space="preserve">ORAL B COMMERCIAL VIDEO</t>
  </si>
  <si>
    <t xml:space="preserve">6:59:54am</t>
  </si>
  <si>
    <t xml:space="preserve">7:00:24am</t>
  </si>
  <si>
    <t xml:space="preserve">10 FOODS TO CUT DOWN ON HEALTHY LIVING</t>
  </si>
  <si>
    <t xml:space="preserve">7:00:34am</t>
  </si>
  <si>
    <t xml:space="preserve">sheet allows only a few seconds for this item; its real running time pushes everything after it later</t>
  </si>
  <si>
    <t xml:space="preserve">TATTASE TV STING</t>
  </si>
  <si>
    <t xml:space="preserve">7:00:40am</t>
  </si>
  <si>
    <t xml:space="preserve">KIVO VIDEO</t>
  </si>
  <si>
    <t xml:space="preserve">7:01:25am</t>
  </si>
  <si>
    <t xml:space="preserve">NEW AND IMPROVED GINO MAX CHICKEN</t>
  </si>
  <si>
    <t xml:space="preserve">7:02:10am</t>
  </si>
  <si>
    <t xml:space="preserve">GOLDEN MOM</t>
  </si>
  <si>
    <t xml:space="preserve">7:03:05am</t>
  </si>
  <si>
    <t xml:space="preserve">FOOD SHOUTOUTS</t>
  </si>
  <si>
    <t xml:space="preserve">7:04:00am</t>
  </si>
  <si>
    <t xml:space="preserve">7:05:18am</t>
  </si>
  <si>
    <t xml:space="preserve">GREEN FIELDS AFRICA LEKKI FARMS</t>
  </si>
  <si>
    <t xml:space="preserve">7:05:28am</t>
  </si>
  <si>
    <t xml:space="preserve">TATTSETV COFFE STINGS</t>
  </si>
  <si>
    <t xml:space="preserve">7:05:31am</t>
  </si>
  <si>
    <t xml:space="preserve">AMOR AND CUPID</t>
  </si>
  <si>
    <t xml:space="preserve">7:05:39am</t>
  </si>
  <si>
    <t xml:space="preserve">KNOR JOLLOF FEST ABUJA</t>
  </si>
  <si>
    <t xml:space="preserve">7:07:05am</t>
  </si>
  <si>
    <t xml:space="preserve">OLAM ANIMAL FEEDS BUSINESS</t>
  </si>
  <si>
    <t xml:space="preserve">7:09:05am</t>
  </si>
  <si>
    <t xml:space="preserve">CHANNEL STINGS</t>
  </si>
  <si>
    <t xml:space="preserve">7:16:24am</t>
  </si>
  <si>
    <t xml:space="preserve">ORAL B VALUE NEW</t>
  </si>
  <si>
    <t xml:space="preserve">7:16:30am</t>
  </si>
  <si>
    <t xml:space="preserve">TERRA CUBE COMMERCIAL</t>
  </si>
  <si>
    <t xml:space="preserve">7:17:00am</t>
  </si>
  <si>
    <t xml:space="preserve">7:18:00am</t>
  </si>
  <si>
    <t xml:space="preserve">7:18:10am</t>
  </si>
  <si>
    <t xml:space="preserve">7:18:48am</t>
  </si>
  <si>
    <t xml:space="preserve">GTCO FOOD&amp;DRINK FOR TV3</t>
  </si>
  <si>
    <t xml:space="preserve">7:19:12am</t>
  </si>
  <si>
    <t xml:space="preserve">7:21:24am</t>
  </si>
  <si>
    <t xml:space="preserve">BEST TIMES TO HAVE BREAKFAST, LUNCH &amp; DINNER</t>
  </si>
  <si>
    <t xml:space="preserve">7:21:30am</t>
  </si>
  <si>
    <t xml:space="preserve">HALAL EXPO FOR TV</t>
  </si>
  <si>
    <t xml:space="preserve">7:44:21am</t>
  </si>
  <si>
    <t xml:space="preserve">7:45:08am</t>
  </si>
  <si>
    <t xml:space="preserve">DANO N HILDA COMMERCIAL</t>
  </si>
  <si>
    <t xml:space="preserve">7:45:18am</t>
  </si>
  <si>
    <t xml:space="preserve">COCA-COLA RECPE FOR WONDER</t>
  </si>
  <si>
    <t xml:space="preserve">7:45:34am</t>
  </si>
  <si>
    <t xml:space="preserve">FOOD MARTS</t>
  </si>
  <si>
    <t xml:space="preserve">7:46:04am</t>
  </si>
  <si>
    <t xml:space="preserve">7:46:41am</t>
  </si>
  <si>
    <t xml:space="preserve">COOL KIDS CAN COOK</t>
  </si>
  <si>
    <t xml:space="preserve">7:52:48am</t>
  </si>
  <si>
    <t xml:space="preserve">SHAYO AFRICA</t>
  </si>
  <si>
    <t xml:space="preserve">7:58:55am</t>
  </si>
  <si>
    <t xml:space="preserve">FOODPRENEUR</t>
  </si>
  <si>
    <t xml:space="preserve">7:59:25am</t>
  </si>
  <si>
    <t xml:space="preserve">TATTASETV COFFEE STING</t>
  </si>
  <si>
    <t xml:space="preserve">7:59:55am</t>
  </si>
  <si>
    <t xml:space="preserve">8:00:03am</t>
  </si>
  <si>
    <t xml:space="preserve">HOW TO MAKE JOLLOF RICE THE NAIJA WAY</t>
  </si>
  <si>
    <t xml:space="preserve">8:00:13am</t>
  </si>
  <si>
    <t xml:space="preserve">CHIVITA ADVERT</t>
  </si>
  <si>
    <t xml:space="preserve">8:01:13am</t>
  </si>
  <si>
    <t xml:space="preserve">SALAD MASTER SET NO LOGO</t>
  </si>
  <si>
    <t xml:space="preserve">8:05:26am</t>
  </si>
  <si>
    <t xml:space="preserve">8:06:42am</t>
  </si>
  <si>
    <t xml:space="preserve">MAGGI OSETIGO EP1</t>
  </si>
  <si>
    <t xml:space="preserve">8:34:21am</t>
  </si>
  <si>
    <t xml:space="preserve">COKE STUDIO SCAN AND WIN</t>
  </si>
  <si>
    <t xml:space="preserve">8:34:52am</t>
  </si>
  <si>
    <t xml:space="preserve">LIPTON ADVERTS</t>
  </si>
  <si>
    <t xml:space="preserve">8:34:58am</t>
  </si>
  <si>
    <t xml:space="preserve">8:35:04am</t>
  </si>
  <si>
    <t xml:space="preserve">AGRO FOOD DAY 1</t>
  </si>
  <si>
    <t xml:space="preserve">8:25:14am</t>
  </si>
  <si>
    <t xml:space="preserve">8:57:09am</t>
  </si>
  <si>
    <t xml:space="preserve">8:57:39am</t>
  </si>
  <si>
    <t xml:space="preserve">8:58:39am</t>
  </si>
  <si>
    <t xml:space="preserve">8:58:45am</t>
  </si>
  <si>
    <t xml:space="preserve">ABUJA’S FINEST PLACES (AFP)</t>
  </si>
  <si>
    <t xml:space="preserve">8:59:04am</t>
  </si>
  <si>
    <t xml:space="preserve">GUESS WHO’S COMING TO DINNER</t>
  </si>
  <si>
    <t xml:space="preserve">8:59:46am</t>
  </si>
  <si>
    <t xml:space="preserve">9:00:14am</t>
  </si>
  <si>
    <t xml:space="preserve">9:00:24am</t>
  </si>
  <si>
    <t xml:space="preserve">SCHWEPPS AT TIMELESS</t>
  </si>
  <si>
    <t xml:space="preserve">9:00:54am</t>
  </si>
  <si>
    <t xml:space="preserve">9:01:25am</t>
  </si>
  <si>
    <t xml:space="preserve">BOLE FESTIVAL DAY ONE</t>
  </si>
  <si>
    <t xml:space="preserve">9:01:31am</t>
  </si>
  <si>
    <t xml:space="preserve">CHEF ETTE</t>
  </si>
  <si>
    <t xml:space="preserve">9:26:28am</t>
  </si>
  <si>
    <t xml:space="preserve">9:29:54am</t>
  </si>
  <si>
    <t xml:space="preserve">CALABAR FOOD WITH UYAI (NO BRAND) PROMO</t>
  </si>
  <si>
    <t xml:space="preserve">9:30:00am</t>
  </si>
  <si>
    <t xml:space="preserve">Bake That Cake With Dripples __ Trailer</t>
  </si>
  <si>
    <t xml:space="preserve">9:32:41am</t>
  </si>
  <si>
    <t xml:space="preserve">9:33:14am</t>
  </si>
  <si>
    <t xml:space="preserve">Ep 9 - BAKED PLANTAIN AND SCRAMBLED EGG</t>
  </si>
  <si>
    <t xml:space="preserve">9:33:24am</t>
  </si>
  <si>
    <t xml:space="preserve">9:48:30am</t>
  </si>
  <si>
    <t xml:space="preserve">9:49:15am</t>
  </si>
  <si>
    <t xml:space="preserve">TATTASE COFFEE STING</t>
  </si>
  <si>
    <t xml:space="preserve">9:49:39am</t>
  </si>
  <si>
    <t xml:space="preserve">ABUJA NYSC CAMP LETS JOLLOF</t>
  </si>
  <si>
    <t xml:space="preserve">9:49:47am</t>
  </si>
  <si>
    <t xml:space="preserve">FOODIE SHOUTOUTS</t>
  </si>
  <si>
    <t xml:space="preserve">9:50:35am</t>
  </si>
  <si>
    <t xml:space="preserve">GTCO FOOD AND DRINKS TV6</t>
  </si>
  <si>
    <t xml:space="preserve">9:51:53am</t>
  </si>
  <si>
    <t xml:space="preserve">9:52:52am</t>
  </si>
  <si>
    <t xml:space="preserve">CURRIED SPAGHETTI WITH SHREDDED BEEF by CHIOMA AKPOTHA</t>
  </si>
  <si>
    <t xml:space="preserve">9:52:58am</t>
  </si>
  <si>
    <t xml:space="preserve">Olam Cocoa Ghana</t>
  </si>
  <si>
    <t xml:space="preserve">9:55:51am</t>
  </si>
  <si>
    <t xml:space="preserve">TATTASE TV CHANNEL MONTAGE</t>
  </si>
  <si>
    <t xml:space="preserve">10:04:54am</t>
  </si>
  <si>
    <t xml:space="preserve">Waffest day 2 beach hangout</t>
  </si>
  <si>
    <t xml:space="preserve">10:05:04am</t>
  </si>
  <si>
    <t xml:space="preserve">10:06:13am</t>
  </si>
  <si>
    <t xml:space="preserve">ADESUA VIVA COMMERCIAL</t>
  </si>
  <si>
    <t xml:space="preserve">10:07:52am</t>
  </si>
  <si>
    <t xml:space="preserve">COCACOLA RECIPE WONDER</t>
  </si>
  <si>
    <t xml:space="preserve">10:08:22am</t>
  </si>
  <si>
    <t xml:space="preserve">10:08:52am</t>
  </si>
  <si>
    <t xml:space="preserve">CHEF EHIS FOR TV</t>
  </si>
  <si>
    <t xml:space="preserve">10:08:58am</t>
  </si>
  <si>
    <t xml:space="preserve">Coffee on work table sting</t>
  </si>
  <si>
    <t xml:space="preserve">10:38:47am</t>
  </si>
  <si>
    <t xml:space="preserve">Hilda Bacis inspiring NoLimits Story</t>
  </si>
  <si>
    <t xml:space="preserve">10:38:55am</t>
  </si>
  <si>
    <t xml:space="preserve">HOTEL EXPO 2023 DAY 1</t>
  </si>
  <si>
    <t xml:space="preserve">10:43:49am</t>
  </si>
  <si>
    <t xml:space="preserve">10:45:18am</t>
  </si>
  <si>
    <t xml:space="preserve">PAPER PACKAGING COMP</t>
  </si>
  <si>
    <t xml:space="preserve">10:45:28am</t>
  </si>
  <si>
    <t xml:space="preserve">10:48:37am</t>
  </si>
  <si>
    <t xml:space="preserve">the new Ayoola Poundo Yam Packs</t>
  </si>
  <si>
    <t xml:space="preserve">10:48:43am</t>
  </si>
  <si>
    <t xml:space="preserve">DANO N HILDA 2</t>
  </si>
  <si>
    <t xml:space="preserve">10:50:52am</t>
  </si>
  <si>
    <t xml:space="preserve">Look What Naa Made With NutriDay Episode 2</t>
  </si>
  <si>
    <t xml:space="preserve">10:53:01am</t>
  </si>
  <si>
    <t xml:space="preserve">Abenas Special Ebubuebunu Soup</t>
  </si>
  <si>
    <t xml:space="preserve">10:53:55am</t>
  </si>
  <si>
    <t xml:space="preserve">11:00:28am</t>
  </si>
  <si>
    <t xml:space="preserve">Knorr Good Jollof Smokey Jollof Rice</t>
  </si>
  <si>
    <t xml:space="preserve">11:00:38am</t>
  </si>
  <si>
    <t xml:space="preserve">GTCO F&amp;D TV8</t>
  </si>
  <si>
    <t xml:space="preserve">11:01:35am</t>
  </si>
  <si>
    <t xml:space="preserve">Be a Fressia Millionaire</t>
  </si>
  <si>
    <t xml:space="preserve">11:02:26am AM</t>
  </si>
  <si>
    <t xml:space="preserve">duration typed as 00:38 (h:mm); read as 0:00:38, which matches the sheet start times</t>
  </si>
  <si>
    <t xml:space="preserve">11:03:04am AM</t>
  </si>
  <si>
    <t xml:space="preserve">HEN_FULL VIDEO FOR TV FINAL</t>
  </si>
  <si>
    <t xml:space="preserve">11:03:10am AM</t>
  </si>
  <si>
    <t xml:space="preserve">11:31:37am</t>
  </si>
  <si>
    <t xml:space="preserve">TECNO FOOD WITH TIWA SAVAGE real</t>
  </si>
  <si>
    <t xml:space="preserve">11:31:43am</t>
  </si>
  <si>
    <t xml:space="preserve">RITE FOODS SAUSAGE ROLLS for tv</t>
  </si>
  <si>
    <t xml:space="preserve">11:32:12am</t>
  </si>
  <si>
    <t xml:space="preserve">11:33:12am</t>
  </si>
  <si>
    <t xml:space="preserve">PROPAK FOR TV</t>
  </si>
  <si>
    <t xml:space="preserve">11:33:18am</t>
  </si>
  <si>
    <t xml:space="preserve">12:06:15am</t>
  </si>
  <si>
    <t xml:space="preserve">sheet time says "am" but sits in the afternoon; read as pm</t>
  </si>
  <si>
    <t xml:space="preserve">Mamador WIMCA conference</t>
  </si>
  <si>
    <t xml:space="preserve">12:06:21am</t>
  </si>
  <si>
    <t xml:space="preserve">MAGII O TA LENU SEASON 1 TRAILER</t>
  </si>
  <si>
    <t xml:space="preserve">12:07:14am</t>
  </si>
  <si>
    <t xml:space="preserve">PEPPERSOUP SPICE FILLER FOR TV</t>
  </si>
  <si>
    <t xml:space="preserve">12:08:14am</t>
  </si>
  <si>
    <t xml:space="preserve">12:09:30am</t>
  </si>
  <si>
    <t xml:space="preserve">AGROFOOD DAY 1</t>
  </si>
  <si>
    <t xml:space="preserve">12:09:40am</t>
  </si>
  <si>
    <t xml:space="preserve">12:41:55pm</t>
  </si>
  <si>
    <t xml:space="preserve">GOLDEN TERRA OIL</t>
  </si>
  <si>
    <t xml:space="preserve">12:42:01pm</t>
  </si>
  <si>
    <t xml:space="preserve">kivo-video</t>
  </si>
  <si>
    <t xml:space="preserve">12:43::01pm</t>
  </si>
  <si>
    <t xml:space="preserve">12:43:46p</t>
  </si>
  <si>
    <t xml:space="preserve">ONGA GHANA COOKS SEASON 1 EPISODE 1</t>
  </si>
  <si>
    <t xml:space="preserve">12:44:01pm</t>
  </si>
  <si>
    <t xml:space="preserve">1:13:59pm</t>
  </si>
  <si>
    <t xml:space="preserve">OSETIGO EP1</t>
  </si>
  <si>
    <t xml:space="preserve">1:14:09PM</t>
  </si>
  <si>
    <t xml:space="preserve">TATTASETV STING</t>
  </si>
  <si>
    <t xml:space="preserve">1:41:48PM</t>
  </si>
  <si>
    <t xml:space="preserve">DJINEE AT HEMBADOON</t>
  </si>
  <si>
    <t xml:space="preserve">1:41:54PM</t>
  </si>
  <si>
    <t xml:space="preserve">CULTURATI HIGHLIGHT UPDATE</t>
  </si>
  <si>
    <t xml:space="preserve">1:45:39PM</t>
  </si>
  <si>
    <t xml:space="preserve">PLANTAIN PEOPLE'S PARTY</t>
  </si>
  <si>
    <t xml:space="preserve">1:48:25PM</t>
  </si>
  <si>
    <t xml:space="preserve">TATTASE STING</t>
  </si>
  <si>
    <t xml:space="preserve">1:56:55PM</t>
  </si>
  <si>
    <t xml:space="preserve">SAUSAGE THREADED SPAGHETTI (LONGER VERSION)</t>
  </si>
  <si>
    <t xml:space="preserve">1:57:01PM</t>
  </si>
  <si>
    <t xml:space="preserve">2:00:08PM</t>
  </si>
  <si>
    <t xml:space="preserve">2:00:14PM</t>
  </si>
  <si>
    <t xml:space="preserve">SPICES OF LOVE Season1 Episode1 Welcome to the Neighbourhood</t>
  </si>
  <si>
    <t xml:space="preserve">2:00:24PM</t>
  </si>
  <si>
    <t xml:space="preserve">2:06:42PM</t>
  </si>
  <si>
    <t xml:space="preserve">Visit Lagos Fresh Food HubidiOro Mushin</t>
  </si>
  <si>
    <t xml:space="preserve">2:06:48PM</t>
  </si>
  <si>
    <t xml:space="preserve">UNILORIN LET'S JOLLOF</t>
  </si>
  <si>
    <t xml:space="preserve">2:07:54PM</t>
  </si>
  <si>
    <t xml:space="preserve">KNORR PURPOSE TV MOV NEW</t>
  </si>
  <si>
    <t xml:space="preserve">2:08:49PM</t>
  </si>
  <si>
    <t xml:space="preserve">AFTER DARK COMING SOON REAL</t>
  </si>
  <si>
    <t xml:space="preserve">2:09:19PM</t>
  </si>
  <si>
    <t xml:space="preserve">2:10:18PM</t>
  </si>
  <si>
    <t xml:space="preserve">Fried Rice with Oven Roasted Fish and Moimoi AJINOMOTO 247 Episode11</t>
  </si>
  <si>
    <t xml:space="preserve">2:10:29PM</t>
  </si>
  <si>
    <t xml:space="preserve">2:16:43PM</t>
  </si>
  <si>
    <t xml:space="preserve">Sonia Tomato Mix</t>
  </si>
  <si>
    <t xml:space="preserve">2:17:43PM</t>
  </si>
  <si>
    <t xml:space="preserve">2:17:53PM</t>
  </si>
  <si>
    <t xml:space="preserve">CALABAR FOOD with UYAI (NO BRAND) PROMO</t>
  </si>
  <si>
    <t xml:space="preserve">2:18:03PM</t>
  </si>
  <si>
    <t xml:space="preserve">DRONE 9JA PLASTPRINTPACK</t>
  </si>
  <si>
    <t xml:space="preserve">2:20:44PM</t>
  </si>
  <si>
    <t xml:space="preserve">FAYROUZ</t>
  </si>
  <si>
    <t xml:space="preserve">2:27:24PM</t>
  </si>
  <si>
    <t xml:space="preserve">2:28:24PM</t>
  </si>
  <si>
    <t xml:space="preserve">Maggi Diaries Season 3 Episode 2</t>
  </si>
  <si>
    <t xml:space="preserve">2:28:34PM</t>
  </si>
  <si>
    <t xml:space="preserve">Shayo - Full Montage</t>
  </si>
  <si>
    <t xml:space="preserve">2:36:57PM</t>
  </si>
  <si>
    <t xml:space="preserve">SOUPS - Full Montage (3)_1</t>
  </si>
  <si>
    <t xml:space="preserve">2:37:18PM</t>
  </si>
  <si>
    <t xml:space="preserve">GOODNESS KITCHEN WITH CHEF T</t>
  </si>
  <si>
    <t xml:space="preserve">2:37:51PM</t>
  </si>
  <si>
    <t xml:space="preserve">2:59:00PM</t>
  </si>
  <si>
    <t xml:space="preserve">BOYS CAN COOK TV SHOW OPENING MONTAGE</t>
  </si>
  <si>
    <t xml:space="preserve">2:59:06PM</t>
  </si>
  <si>
    <t xml:space="preserve">TWISCO AMVCA</t>
  </si>
  <si>
    <t xml:space="preserve">2:59:27PM</t>
  </si>
  <si>
    <t xml:space="preserve">3:00:08PM</t>
  </si>
  <si>
    <t xml:space="preserve">How to Make Okro soup with Mr. Chef</t>
  </si>
  <si>
    <t xml:space="preserve">3:00:18PM</t>
  </si>
  <si>
    <t xml:space="preserve">CHIVITA ADVERT WITHOUT LOGO</t>
  </si>
  <si>
    <t xml:space="preserve">3:01:18PM</t>
  </si>
  <si>
    <t xml:space="preserve">3:05:31PM</t>
  </si>
  <si>
    <t xml:space="preserve">DONE STREET FOOD TOUR MR ROLAND (ISLANDER BARBEQUE)</t>
  </si>
  <si>
    <t xml:space="preserve">3:05:37PM</t>
  </si>
  <si>
    <t xml:space="preserve">3:12:10PM</t>
  </si>
  <si>
    <t xml:space="preserve">3:13:10PM</t>
  </si>
  <si>
    <t xml:space="preserve">MERCYS MENU SEASON 2 EPISODE 1 TAAOOMA COCONUT NOODLES</t>
  </si>
  <si>
    <t xml:space="preserve">3:13:16PM</t>
  </si>
  <si>
    <t xml:space="preserve">3:35:56PM</t>
  </si>
  <si>
    <t xml:space="preserve">3:36:02PM</t>
  </si>
  <si>
    <t xml:space="preserve">3:37:02pm</t>
  </si>
  <si>
    <t xml:space="preserve">3:39:11pm</t>
  </si>
  <si>
    <t xml:space="preserve">GOLDEN PENNY SOUP FEST</t>
  </si>
  <si>
    <t xml:space="preserve">3:39:17pm</t>
  </si>
  <si>
    <t xml:space="preserve">WHAT'S COOKING TRAILER 1</t>
  </si>
  <si>
    <t xml:space="preserve">3:40:38pm</t>
  </si>
  <si>
    <t xml:space="preserve">3:41:27pm</t>
  </si>
  <si>
    <t xml:space="preserve">AKWAABA DAY1</t>
  </si>
  <si>
    <t xml:space="preserve">3:42:37pm</t>
  </si>
  <si>
    <t xml:space="preserve">4:09:32PM</t>
  </si>
  <si>
    <t xml:space="preserve">New and Improved Gino Max Chicken Cubes</t>
  </si>
  <si>
    <t xml:space="preserve">4:09:42PM</t>
  </si>
  <si>
    <t xml:space="preserve">Kivo Hot Pepper Commercial</t>
  </si>
  <si>
    <t xml:space="preserve">4:10:27PM</t>
  </si>
  <si>
    <t xml:space="preserve">4:11:12PM</t>
  </si>
  <si>
    <t xml:space="preserve">KNORR CELEBRITY TAKEOUT SEASON 1 EPISODE 1</t>
  </si>
  <si>
    <t xml:space="preserve">4:11:18PM</t>
  </si>
  <si>
    <t xml:space="preserve">4:39:23PM</t>
  </si>
  <si>
    <t xml:space="preserve">4:39:29PM</t>
  </si>
  <si>
    <t xml:space="preserve">HOTEL EXPO 2023 SHORT VIDEO FOR TV</t>
  </si>
  <si>
    <t xml:space="preserve">4:40:51PM</t>
  </si>
  <si>
    <t xml:space="preserve">4:42:27PM</t>
  </si>
  <si>
    <t xml:space="preserve">BAKE THAT CAKE WITH DRIPPLES - S01E03 _ THE LION KING</t>
  </si>
  <si>
    <t xml:space="preserve">4:42:37PM</t>
  </si>
  <si>
    <t xml:space="preserve">T ATTASE TV STING</t>
  </si>
  <si>
    <t xml:space="preserve">5:07:15PM</t>
  </si>
  <si>
    <t xml:space="preserve">AJINOMOTO - TOMATO STEW N WHITE RICE</t>
  </si>
  <si>
    <t xml:space="preserve">5:07:21PM</t>
  </si>
  <si>
    <t xml:space="preserve">SANKOFA NATURAL SPICES PROMO</t>
  </si>
  <si>
    <t xml:space="preserve">5:12:20PM</t>
  </si>
  <si>
    <t xml:space="preserve">NASCO IWD</t>
  </si>
  <si>
    <t xml:space="preserve">5:13:20PM</t>
  </si>
  <si>
    <t xml:space="preserve">5:14:24PM</t>
  </si>
  <si>
    <t xml:space="preserve">Kings Dorm Season 2 Episode 1</t>
  </si>
  <si>
    <t xml:space="preserve">5:14:30PM</t>
  </si>
  <si>
    <t xml:space="preserve">5:44:30PM</t>
  </si>
  <si>
    <t xml:space="preserve">SPAGHETTI QUICHE (Longer Version)</t>
  </si>
  <si>
    <t xml:space="preserve">5:44:06PM AM</t>
  </si>
  <si>
    <t xml:space="preserve">sheet time has both PM and AM; read as PM</t>
  </si>
  <si>
    <t xml:space="preserve">Look What Naa Made With NutriDay Episode 3</t>
  </si>
  <si>
    <t xml:space="preserve">5:46:51PM</t>
  </si>
  <si>
    <t xml:space="preserve">5:48:36PM</t>
  </si>
  <si>
    <t xml:space="preserve">How I Started My Make-up Brand - Giylah Sanda.</t>
  </si>
  <si>
    <t xml:space="preserve">5:48:46PM</t>
  </si>
  <si>
    <t xml:space="preserve">Chu Nwakanmas Journey To Greatness</t>
  </si>
  <si>
    <t xml:space="preserve">5:57:46PM</t>
  </si>
  <si>
    <t xml:space="preserve">CELEB SHOUTOUT</t>
  </si>
  <si>
    <t xml:space="preserve">5:59:48PMAM</t>
  </si>
  <si>
    <t xml:space="preserve">6:01:04PM</t>
  </si>
  <si>
    <t xml:space="preserve">Blue = values taken from the source sheet or choices you can change. Yellow = fill in once the files are on Bunny. Black = formulas.</t>
  </si>
  <si>
    <t xml:space="preserve">Actual vs sheet: minutes this item actually starts later (+) or earlier (-) than the time typed in the source sheet, if the channel started at 06:00.</t>
  </si>
  <si>
    <t xml:space="preserve">Loop</t>
  </si>
  <si>
    <t xml:space="preserve">Status</t>
  </si>
  <si>
    <t xml:space="preserve">In first 24h?</t>
  </si>
  <si>
    <t xml:space="preserve">Two full loops, starting at Summary!B4. Rows after the first 24 hours are greyed out.</t>
  </si>
  <si>
    <t xml:space="preserve">Slot</t>
  </si>
  <si>
    <t xml:space="preserve">Slot ends</t>
  </si>
  <si>
    <t xml:space="preserve">Slot length (min)</t>
  </si>
  <si>
    <t xml:space="preserve">Running Order #</t>
  </si>
  <si>
    <t xml:space="preserve">One guide slot per programme. A slot runs until the next programme starts, so the shorts, promos and ads between them sit inside it. Built from the rows typed "Programme" when this workbook was made.</t>
  </si>
  <si>
    <t xml:space="preserve">Playlist line (copy column A into tattase.txt, remove blank lines)</t>
  </si>
  <si>
    <t xml:space="preserve">Channel Engine Playlist mode reads one HLS URL per line, top to bottom, then loops. Any "MISSING URL" line means that file is not on Bunny yet.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</si>
</sst>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d\ dd\ mmm\ hh:mm:ss"/>
    <numFmt numFmtId="166" formatCode="[h]:mm:ss"/>
    <numFmt numFmtId="167" formatCode="0.00"/>
    <numFmt numFmtId="168" formatCode="0"/>
    <numFmt numFmtId="169" formatCode="0.0%"/>
    <numFmt numFmtId="170" formatCode="0.0"/>
    <numFmt numFmtId="171" formatCode="hh:mm:ss"/>
    <numFmt numFmtId="172" formatCode="\+0.0;\-0.0;0"/>
    <numFmt numFmtId="173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strike val="1"/>
        <color rgb="FF999999"/>
      </font>
    </dxf>
    <dxf>
      <fill>
        <patternFill>
          <bgColor rgb="FFFDE2E1"/>
        </patternFill>
      </fill>
    </dxf>
    <dxf>
      <font>
        <name val="Arial"/>
        <charset val="1"/>
        <family val="0"/>
        <color rgb="FFAAAAAA"/>
      </font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08080"/>
      <rgbColor rgb="FF9999FF"/>
      <rgbColor rgb="FF993366"/>
      <rgbColor rgb="FFFDE2E1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46295.8472222222</v>
      </c>
    </row>
    <row r="5" customFormat="false" ht="15" hidden="false" customHeight="false" outlineLevel="0" collapsed="false">
      <c r="A5" s="3" t="s">
        <v>3</v>
      </c>
      <c r="B5" s="5" t="n">
        <f aca="false">SUMPRODUCT(--('Running Order'!$B$2:$B$225="Y"),'Running Order'!$E$2:$E$225)</f>
        <v>0.540173611111111</v>
      </c>
    </row>
    <row r="6" customFormat="false" ht="15" hidden="false" customHeight="false" outlineLevel="0" collapsed="false">
      <c r="A6" s="3" t="s">
        <v>4</v>
      </c>
      <c r="B6" s="6" t="n">
        <f aca="false">B4+B5</f>
        <v>46296.3873958333</v>
      </c>
    </row>
    <row r="7" customFormat="false" ht="15" hidden="false" customHeight="false" outlineLevel="0" collapsed="false">
      <c r="A7" s="3" t="s">
        <v>5</v>
      </c>
      <c r="B7" s="7" t="n">
        <f aca="false">1/B5</f>
        <v>1.85125666902359</v>
      </c>
    </row>
    <row r="8" customFormat="false" ht="15" hidden="false" customHeight="false" outlineLevel="0" collapsed="false">
      <c r="A8" s="3" t="s">
        <v>6</v>
      </c>
      <c r="B8" s="8" t="n">
        <f aca="false">COUNTA('Running Order'!$C$2:$C$225)</f>
        <v>224</v>
      </c>
    </row>
    <row r="9" customFormat="false" ht="15" hidden="false" customHeight="false" outlineLevel="0" collapsed="false">
      <c r="A9" s="3" t="s">
        <v>7</v>
      </c>
      <c r="B9" s="8" t="n">
        <f aca="false">COUNTIF('Running Order'!$B$2:$B$225,"Y")</f>
        <v>224</v>
      </c>
    </row>
    <row r="10" customFormat="false" ht="15" hidden="false" customHeight="false" outlineLevel="0" collapsed="false">
      <c r="A10" s="3" t="s">
        <v>8</v>
      </c>
      <c r="B10" s="9" t="n">
        <v>0.500740740740741</v>
      </c>
    </row>
    <row r="11" customFormat="false" ht="15" hidden="false" customHeight="false" outlineLevel="0" collapsed="false">
      <c r="A11" s="3" t="s">
        <v>9</v>
      </c>
      <c r="B11" s="5" t="n">
        <f aca="false">B5-B10-TIME(0,0,10)</f>
        <v>0.0393171296296296</v>
      </c>
    </row>
    <row r="14" customFormat="false" ht="15" hidden="false" customHeight="false" outlineLevel="0" collapsed="false">
      <c r="A14" s="10" t="s">
        <v>10</v>
      </c>
      <c r="B14" s="10" t="s">
        <v>11</v>
      </c>
      <c r="C14" s="10" t="s">
        <v>12</v>
      </c>
      <c r="D14" s="10" t="s">
        <v>13</v>
      </c>
    </row>
    <row r="15" customFormat="false" ht="15" hidden="false" customHeight="false" outlineLevel="0" collapsed="false">
      <c r="A15" s="11" t="s">
        <v>14</v>
      </c>
      <c r="B15" s="11" t="n">
        <f aca="false">COUNTIFS('Running Order'!$D$2:$D$225,A15,'Running Order'!$B$2:$B$225,"Y")</f>
        <v>40</v>
      </c>
      <c r="C15" s="5" t="n">
        <f aca="false">SUMIFS('Running Order'!$E$2:$E$225,'Running Order'!$D$2:$D$225,A15,'Running Order'!$B$2:$B$225,"Y")</f>
        <v>0.448206018518519</v>
      </c>
      <c r="D15" s="12" t="n">
        <f aca="false">IF($B$5=0,0,C15/$B$5)</f>
        <v>0.829744380878919</v>
      </c>
    </row>
    <row r="16" customFormat="false" ht="15" hidden="false" customHeight="false" outlineLevel="0" collapsed="false">
      <c r="A16" s="11" t="s">
        <v>15</v>
      </c>
      <c r="B16" s="11" t="n">
        <f aca="false">COUNTIFS('Running Order'!$D$2:$D$225,A16,'Running Order'!$B$2:$B$225,"Y")</f>
        <v>60</v>
      </c>
      <c r="C16" s="5" t="n">
        <f aca="false">SUMIFS('Running Order'!$E$2:$E$225,'Running Order'!$D$2:$D$225,A16,'Running Order'!$B$2:$B$225,"Y")</f>
        <v>0.0466319444444444</v>
      </c>
      <c r="D16" s="12" t="n">
        <f aca="false">IF($B$5=0,0,C16/$B$5)</f>
        <v>0.0863276981423154</v>
      </c>
    </row>
    <row r="17" customFormat="false" ht="15" hidden="false" customHeight="false" outlineLevel="0" collapsed="false">
      <c r="A17" s="11" t="s">
        <v>16</v>
      </c>
      <c r="B17" s="11" t="n">
        <f aca="false">COUNTIFS('Running Order'!$D$2:$D$225,A17,'Running Order'!$B$2:$B$225,"Y")</f>
        <v>41</v>
      </c>
      <c r="C17" s="5" t="n">
        <f aca="false">SUMIFS('Running Order'!$E$2:$E$225,'Running Order'!$D$2:$D$225,A17,'Running Order'!$B$2:$B$225,"Y")</f>
        <v>0.0291087962962963</v>
      </c>
      <c r="D17" s="12" t="n">
        <f aca="false">IF($B$5=0,0,C17/$B$5)</f>
        <v>0.0538878532707677</v>
      </c>
    </row>
    <row r="18" customFormat="false" ht="15" hidden="false" customHeight="false" outlineLevel="0" collapsed="false">
      <c r="A18" s="11" t="s">
        <v>17</v>
      </c>
      <c r="B18" s="11" t="n">
        <f aca="false">COUNTIFS('Running Order'!$D$2:$D$225,A18,'Running Order'!$B$2:$B$225,"Y")</f>
        <v>14</v>
      </c>
      <c r="C18" s="5" t="n">
        <f aca="false">SUMIFS('Running Order'!$E$2:$E$225,'Running Order'!$D$2:$D$225,A18,'Running Order'!$B$2:$B$225,"Y")</f>
        <v>0.01</v>
      </c>
      <c r="D18" s="12" t="n">
        <f aca="false">IF($B$5=0,0,C18/$B$5)</f>
        <v>0.0185125666902359</v>
      </c>
    </row>
    <row r="19" customFormat="false" ht="15" hidden="false" customHeight="false" outlineLevel="0" collapsed="false">
      <c r="A19" s="11" t="s">
        <v>18</v>
      </c>
      <c r="B19" s="11" t="n">
        <f aca="false">COUNTIFS('Running Order'!$D$2:$D$225,A19,'Running Order'!$B$2:$B$225,"Y")</f>
        <v>40</v>
      </c>
      <c r="C19" s="5" t="n">
        <f aca="false">SUMIFS('Running Order'!$E$2:$E$225,'Running Order'!$D$2:$D$225,A19,'Running Order'!$B$2:$B$225,"Y")</f>
        <v>0.00291666666666667</v>
      </c>
      <c r="D19" s="12" t="n">
        <f aca="false">IF($B$5=0,0,C19/$B$5)</f>
        <v>0.00539949861798547</v>
      </c>
    </row>
    <row r="20" customFormat="false" ht="15" hidden="false" customHeight="false" outlineLevel="0" collapsed="false">
      <c r="A20" s="11" t="s">
        <v>19</v>
      </c>
      <c r="B20" s="11" t="n">
        <f aca="false">COUNTIFS('Running Order'!$D$2:$D$225,A20,'Running Order'!$B$2:$B$225,"Y")</f>
        <v>29</v>
      </c>
      <c r="C20" s="5" t="n">
        <f aca="false">SUMIFS('Running Order'!$E$2:$E$225,'Running Order'!$D$2:$D$225,A20,'Running Order'!$B$2:$B$225,"Y")</f>
        <v>0.00331018518518518</v>
      </c>
      <c r="D20" s="12" t="n">
        <f aca="false">IF($B$5=0,0,C20/$B$5)</f>
        <v>0.00612800239977716</v>
      </c>
    </row>
    <row r="21" customFormat="false" ht="15" hidden="false" customHeight="false" outlineLevel="0" collapsed="false">
      <c r="A21" s="3" t="s">
        <v>20</v>
      </c>
      <c r="B21" s="3" t="n">
        <f aca="false">SUM(B15:B20)</f>
        <v>224</v>
      </c>
      <c r="C21" s="13" t="n">
        <f aca="false">SUM(C15:C20)</f>
        <v>0.540173611111111</v>
      </c>
      <c r="D21" s="14" t="n">
        <f aca="false">SUM(D15:D20)</f>
        <v>1</v>
      </c>
    </row>
    <row r="23" customFormat="false" ht="15" hidden="false" customHeight="false" outlineLevel="0" collapsed="false">
      <c r="A23" s="3" t="s">
        <v>21</v>
      </c>
      <c r="B23" s="15" t="n">
        <f aca="false">IF($B$5=0,0,C17/$B$5*60)</f>
        <v>3.23327119624606</v>
      </c>
    </row>
    <row r="24" customFormat="false" ht="15" hidden="false" customHeight="false" outlineLevel="0" collapsed="false">
      <c r="A24" s="2" t="s">
        <v>22</v>
      </c>
    </row>
    <row r="26" customFormat="false" ht="15" hidden="false" customHeight="false" outlineLevel="0" collapsed="false">
      <c r="A26" s="3" t="s">
        <v>23</v>
      </c>
    </row>
    <row r="27" customFormat="false" ht="15" hidden="false" customHeight="false" outlineLevel="0" collapsed="false">
      <c r="A27" s="11" t="s">
        <v>24</v>
      </c>
    </row>
    <row r="28" customFormat="false" ht="15" hidden="false" customHeight="false" outlineLevel="0" collapsed="false">
      <c r="A28" s="11" t="s">
        <v>25</v>
      </c>
    </row>
    <row r="29" customFormat="false" ht="15" hidden="false" customHeight="false" outlineLevel="0" collapsed="false">
      <c r="A29" s="11" t="s">
        <v>26</v>
      </c>
    </row>
    <row r="30" customFormat="false" ht="15" hidden="false" customHeight="false" outlineLevel="0" collapsed="false">
      <c r="A30" s="11" t="s">
        <v>27</v>
      </c>
    </row>
    <row r="31" customFormat="false" ht="15" hidden="false" customHeight="false" outlineLevel="0" collapsed="false">
      <c r="A31" s="11" t="s">
        <v>28</v>
      </c>
    </row>
    <row r="32" customFormat="false" ht="15" hidden="false" customHeight="false" outlineLevel="0" collapsed="false">
      <c r="A32" s="11" t="s">
        <v>29</v>
      </c>
    </row>
    <row r="33" customFormat="false" ht="15" hidden="false" customHeight="false" outlineLevel="0" collapsed="false">
      <c r="A33" s="11" t="s">
        <v>30</v>
      </c>
    </row>
    <row r="34" customFormat="false" ht="15" hidden="false" customHeight="false" outlineLevel="0" collapsed="false">
      <c r="A34" s="11" t="s">
        <v>31</v>
      </c>
    </row>
    <row r="35" customFormat="false" ht="15" hidden="false" customHeight="false" outlineLevel="0" collapsed="false">
      <c r="A35" s="11" t="s">
        <v>32</v>
      </c>
    </row>
    <row r="36" customFormat="false" ht="15" hidden="false" customHeight="false" outlineLevel="0" collapsed="false">
      <c r="A36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48"/>
    <col collapsed="false" customWidth="true" hidden="false" outlineLevel="0" max="12" min="12" style="0" width="60"/>
  </cols>
  <sheetData>
    <row r="1" customFormat="false" ht="30" hidden="false" customHeight="true" outlineLevel="0" collapsed="false">
      <c r="A1" s="16" t="s">
        <v>34</v>
      </c>
      <c r="B1" s="16" t="s">
        <v>35</v>
      </c>
      <c r="C1" s="16" t="s">
        <v>36</v>
      </c>
      <c r="D1" s="16" t="s">
        <v>10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</row>
    <row r="2" customFormat="false" ht="15" hidden="false" customHeight="false" outlineLevel="0" collapsed="false">
      <c r="A2" s="17" t="n">
        <v>1</v>
      </c>
      <c r="B2" s="18" t="s">
        <v>45</v>
      </c>
      <c r="C2" s="17" t="s">
        <v>46</v>
      </c>
      <c r="D2" s="18" t="s">
        <v>14</v>
      </c>
      <c r="E2" s="19" t="n">
        <v>0.00296296296296296</v>
      </c>
      <c r="F2" s="20" t="n">
        <f aca="false">Summary!$B$4</f>
        <v>46295.8472222222</v>
      </c>
      <c r="G2" s="20" t="n">
        <f aca="false">F2+IF(B2="Y",E2,0)</f>
        <v>46295.8501851852</v>
      </c>
      <c r="H2" s="17" t="s">
        <v>47</v>
      </c>
      <c r="I2" s="21" t="n">
        <v>0.25</v>
      </c>
      <c r="J2" s="22" t="n">
        <f aca="false">ROUND((TIME(6,0,0)+(F2-Summary!$B$4)-I2)*1440,1)</f>
        <v>0</v>
      </c>
      <c r="K2" s="23"/>
      <c r="L2" s="17"/>
    </row>
    <row r="3" customFormat="false" ht="15" hidden="false" customHeight="false" outlineLevel="0" collapsed="false">
      <c r="A3" s="17" t="n">
        <v>2</v>
      </c>
      <c r="B3" s="18" t="s">
        <v>45</v>
      </c>
      <c r="C3" s="17" t="s">
        <v>48</v>
      </c>
      <c r="D3" s="18" t="s">
        <v>16</v>
      </c>
      <c r="E3" s="19" t="n">
        <v>0.000520833333333333</v>
      </c>
      <c r="F3" s="20" t="n">
        <f aca="false">G2</f>
        <v>46295.8501851852</v>
      </c>
      <c r="G3" s="20" t="n">
        <f aca="false">F3+IF(B3="Y",E3,0)</f>
        <v>46295.8507060185</v>
      </c>
      <c r="H3" s="17" t="s">
        <v>49</v>
      </c>
      <c r="I3" s="21" t="n">
        <v>0.252962962962963</v>
      </c>
      <c r="J3" s="22" t="n">
        <f aca="false">ROUND((TIME(6,0,0)+(F3-Summary!$B$4)-I3)*1440,1)</f>
        <v>0</v>
      </c>
      <c r="K3" s="23"/>
      <c r="L3" s="17"/>
    </row>
    <row r="4" customFormat="false" ht="15" hidden="false" customHeight="false" outlineLevel="0" collapsed="false">
      <c r="A4" s="17" t="n">
        <v>3</v>
      </c>
      <c r="B4" s="18" t="s">
        <v>45</v>
      </c>
      <c r="C4" s="17" t="s">
        <v>50</v>
      </c>
      <c r="D4" s="18" t="s">
        <v>16</v>
      </c>
      <c r="E4" s="19" t="n">
        <v>0.000347222222222222</v>
      </c>
      <c r="F4" s="20" t="n">
        <f aca="false">G3</f>
        <v>46295.8507060185</v>
      </c>
      <c r="G4" s="20" t="n">
        <f aca="false">F4+IF(B4="Y",E4,0)</f>
        <v>46295.8510532407</v>
      </c>
      <c r="H4" s="17" t="s">
        <v>51</v>
      </c>
      <c r="I4" s="21" t="n">
        <v>0.253483796296296</v>
      </c>
      <c r="J4" s="22" t="n">
        <f aca="false">ROUND((TIME(6,0,0)+(F4-Summary!$B$4)-I4)*1440,1)</f>
        <v>0</v>
      </c>
      <c r="K4" s="23"/>
      <c r="L4" s="17"/>
    </row>
    <row r="5" customFormat="false" ht="15" hidden="false" customHeight="false" outlineLevel="0" collapsed="false">
      <c r="A5" s="17" t="n">
        <v>4</v>
      </c>
      <c r="B5" s="18" t="s">
        <v>45</v>
      </c>
      <c r="C5" s="17" t="s">
        <v>52</v>
      </c>
      <c r="D5" s="18" t="s">
        <v>19</v>
      </c>
      <c r="E5" s="19" t="n">
        <v>0.000115740740740741</v>
      </c>
      <c r="F5" s="20" t="n">
        <f aca="false">G4</f>
        <v>46295.8510532407</v>
      </c>
      <c r="G5" s="20" t="n">
        <f aca="false">F5+IF(B5="Y",E5,0)</f>
        <v>46295.8511689815</v>
      </c>
      <c r="H5" s="17" t="s">
        <v>53</v>
      </c>
      <c r="I5" s="21" t="n">
        <v>0.253831018518519</v>
      </c>
      <c r="J5" s="22" t="n">
        <f aca="false">ROUND((TIME(6,0,0)+(F5-Summary!$B$4)-I5)*1440,1)</f>
        <v>-0</v>
      </c>
      <c r="K5" s="23"/>
      <c r="L5" s="17"/>
    </row>
    <row r="6" customFormat="false" ht="15" hidden="false" customHeight="false" outlineLevel="0" collapsed="false">
      <c r="A6" s="17" t="n">
        <v>5</v>
      </c>
      <c r="B6" s="18" t="s">
        <v>45</v>
      </c>
      <c r="C6" s="17" t="s">
        <v>54</v>
      </c>
      <c r="D6" s="18" t="s">
        <v>15</v>
      </c>
      <c r="E6" s="19" t="n">
        <v>0.00068287037037037</v>
      </c>
      <c r="F6" s="20" t="n">
        <f aca="false">G5</f>
        <v>46295.8511689815</v>
      </c>
      <c r="G6" s="20" t="n">
        <f aca="false">F6+IF(B6="Y",E6,0)</f>
        <v>46295.8518518519</v>
      </c>
      <c r="H6" s="17" t="s">
        <v>55</v>
      </c>
      <c r="I6" s="21" t="n">
        <v>0.253946759259259</v>
      </c>
      <c r="J6" s="22" t="n">
        <f aca="false">ROUND((TIME(6,0,0)+(F6-Summary!$B$4)-I6)*1440,1)</f>
        <v>0</v>
      </c>
      <c r="K6" s="23"/>
      <c r="L6" s="17"/>
    </row>
    <row r="7" customFormat="false" ht="15" hidden="false" customHeight="false" outlineLevel="0" collapsed="false">
      <c r="A7" s="17" t="n">
        <v>6</v>
      </c>
      <c r="B7" s="18" t="s">
        <v>45</v>
      </c>
      <c r="C7" s="17" t="s">
        <v>56</v>
      </c>
      <c r="D7" s="18" t="s">
        <v>17</v>
      </c>
      <c r="E7" s="19" t="n">
        <v>0.000393518518518519</v>
      </c>
      <c r="F7" s="20" t="n">
        <f aca="false">G6</f>
        <v>46295.8518518519</v>
      </c>
      <c r="G7" s="20" t="n">
        <f aca="false">F7+IF(B7="Y",E7,0)</f>
        <v>46295.8522453704</v>
      </c>
      <c r="H7" s="17" t="s">
        <v>57</v>
      </c>
      <c r="I7" s="21" t="n">
        <v>0.25462962962963</v>
      </c>
      <c r="J7" s="22" t="n">
        <f aca="false">ROUND((TIME(6,0,0)+(F7-Summary!$B$4)-I7)*1440,1)</f>
        <v>-0</v>
      </c>
      <c r="K7" s="23"/>
      <c r="L7" s="17"/>
    </row>
    <row r="8" customFormat="false" ht="15" hidden="false" customHeight="false" outlineLevel="0" collapsed="false">
      <c r="A8" s="17" t="n">
        <v>7</v>
      </c>
      <c r="B8" s="18" t="s">
        <v>45</v>
      </c>
      <c r="C8" s="17" t="s">
        <v>58</v>
      </c>
      <c r="D8" s="18" t="s">
        <v>16</v>
      </c>
      <c r="E8" s="19" t="n">
        <v>0.00114583333333333</v>
      </c>
      <c r="F8" s="20" t="n">
        <f aca="false">G7</f>
        <v>46295.8522453704</v>
      </c>
      <c r="G8" s="20" t="n">
        <f aca="false">F8+IF(B8="Y",E8,0)</f>
        <v>46295.8533912037</v>
      </c>
      <c r="H8" s="17" t="s">
        <v>59</v>
      </c>
      <c r="I8" s="21" t="n">
        <v>0.255023148148148</v>
      </c>
      <c r="J8" s="22" t="n">
        <f aca="false">ROUND((TIME(6,0,0)+(F8-Summary!$B$4)-I8)*1440,1)</f>
        <v>0</v>
      </c>
      <c r="K8" s="23"/>
      <c r="L8" s="17"/>
    </row>
    <row r="9" customFormat="false" ht="15" hidden="false" customHeight="false" outlineLevel="0" collapsed="false">
      <c r="A9" s="17" t="n">
        <v>8</v>
      </c>
      <c r="B9" s="18" t="s">
        <v>45</v>
      </c>
      <c r="C9" s="17" t="s">
        <v>60</v>
      </c>
      <c r="D9" s="18" t="s">
        <v>18</v>
      </c>
      <c r="E9" s="19" t="n">
        <v>9.25925925925926E-005</v>
      </c>
      <c r="F9" s="20" t="n">
        <f aca="false">G8</f>
        <v>46295.8533912037</v>
      </c>
      <c r="G9" s="20" t="n">
        <f aca="false">F9+IF(B9="Y",E9,0)</f>
        <v>46295.8534837963</v>
      </c>
      <c r="H9" s="17" t="s">
        <v>61</v>
      </c>
      <c r="I9" s="21" t="n">
        <v>0.256168981481482</v>
      </c>
      <c r="J9" s="22" t="n">
        <f aca="false">ROUND((TIME(6,0,0)+(F9-Summary!$B$4)-I9)*1440,1)</f>
        <v>0</v>
      </c>
      <c r="K9" s="23"/>
      <c r="L9" s="17"/>
    </row>
    <row r="10" customFormat="false" ht="15" hidden="false" customHeight="false" outlineLevel="0" collapsed="false">
      <c r="A10" s="17" t="n">
        <v>9</v>
      </c>
      <c r="B10" s="18" t="s">
        <v>45</v>
      </c>
      <c r="C10" s="17" t="s">
        <v>62</v>
      </c>
      <c r="D10" s="18" t="s">
        <v>15</v>
      </c>
      <c r="E10" s="19" t="n">
        <v>0.000300925925925926</v>
      </c>
      <c r="F10" s="20" t="n">
        <f aca="false">G9</f>
        <v>46295.8534837963</v>
      </c>
      <c r="G10" s="20" t="n">
        <f aca="false">F10+IF(B10="Y",E10,0)</f>
        <v>46295.8537847222</v>
      </c>
      <c r="H10" s="17" t="s">
        <v>63</v>
      </c>
      <c r="I10" s="21" t="n">
        <v>0.256273148148148</v>
      </c>
      <c r="J10" s="22" t="n">
        <f aca="false">ROUND((TIME(6,0,0)+(F10-Summary!$B$4)-I10)*1440,1)</f>
        <v>-0</v>
      </c>
      <c r="K10" s="23"/>
      <c r="L10" s="17"/>
    </row>
    <row r="11" customFormat="false" ht="15" hidden="false" customHeight="false" outlineLevel="0" collapsed="false">
      <c r="A11" s="17" t="n">
        <v>10</v>
      </c>
      <c r="B11" s="18" t="s">
        <v>45</v>
      </c>
      <c r="C11" s="17" t="s">
        <v>64</v>
      </c>
      <c r="D11" s="18" t="s">
        <v>15</v>
      </c>
      <c r="E11" s="19" t="n">
        <v>0.00146990740740741</v>
      </c>
      <c r="F11" s="20" t="n">
        <f aca="false">G10</f>
        <v>46295.8537847222</v>
      </c>
      <c r="G11" s="20" t="n">
        <f aca="false">F11+IF(B11="Y",E11,0)</f>
        <v>46295.8552546296</v>
      </c>
      <c r="H11" s="17" t="s">
        <v>65</v>
      </c>
      <c r="I11" s="21" t="n">
        <v>0.256574074074074</v>
      </c>
      <c r="J11" s="22" t="n">
        <f aca="false">ROUND((TIME(6,0,0)+(F11-Summary!$B$4)-I11)*1440,1)</f>
        <v>-0</v>
      </c>
      <c r="K11" s="23"/>
      <c r="L11" s="17"/>
    </row>
    <row r="12" customFormat="false" ht="15" hidden="false" customHeight="false" outlineLevel="0" collapsed="false">
      <c r="A12" s="17" t="n">
        <v>11</v>
      </c>
      <c r="B12" s="18" t="s">
        <v>45</v>
      </c>
      <c r="C12" s="17" t="s">
        <v>66</v>
      </c>
      <c r="D12" s="18" t="s">
        <v>18</v>
      </c>
      <c r="E12" s="19" t="n">
        <v>6.94444444444444E-005</v>
      </c>
      <c r="F12" s="20" t="n">
        <f aca="false">G11</f>
        <v>46295.8552546296</v>
      </c>
      <c r="G12" s="20" t="n">
        <f aca="false">F12+IF(B12="Y",E12,0)</f>
        <v>46295.8553240741</v>
      </c>
      <c r="H12" s="17" t="s">
        <v>67</v>
      </c>
      <c r="I12" s="21" t="n">
        <v>0.258043981481482</v>
      </c>
      <c r="J12" s="22" t="n">
        <f aca="false">ROUND((TIME(6,0,0)+(F12-Summary!$B$4)-I12)*1440,1)</f>
        <v>-0</v>
      </c>
      <c r="K12" s="23"/>
      <c r="L12" s="17"/>
    </row>
    <row r="13" customFormat="false" ht="15" hidden="false" customHeight="false" outlineLevel="0" collapsed="false">
      <c r="A13" s="17" t="n">
        <v>12</v>
      </c>
      <c r="B13" s="18" t="s">
        <v>45</v>
      </c>
      <c r="C13" s="17" t="s">
        <v>68</v>
      </c>
      <c r="D13" s="18" t="s">
        <v>14</v>
      </c>
      <c r="E13" s="19" t="n">
        <v>0.0162615740740741</v>
      </c>
      <c r="F13" s="20" t="n">
        <f aca="false">G12</f>
        <v>46295.8553240741</v>
      </c>
      <c r="G13" s="20" t="n">
        <f aca="false">F13+IF(B13="Y",E13,0)</f>
        <v>46295.8715856482</v>
      </c>
      <c r="H13" s="17" t="s">
        <v>69</v>
      </c>
      <c r="I13" s="21" t="n">
        <v>0.258113425925926</v>
      </c>
      <c r="J13" s="22" t="n">
        <f aca="false">ROUND((TIME(6,0,0)+(F13-Summary!$B$4)-I13)*1440,1)</f>
        <v>-0</v>
      </c>
      <c r="K13" s="23"/>
      <c r="L13" s="17"/>
    </row>
    <row r="14" customFormat="false" ht="15" hidden="false" customHeight="false" outlineLevel="0" collapsed="false">
      <c r="A14" s="17" t="n">
        <v>13</v>
      </c>
      <c r="B14" s="18" t="s">
        <v>45</v>
      </c>
      <c r="C14" s="17" t="s">
        <v>70</v>
      </c>
      <c r="D14" s="18" t="s">
        <v>16</v>
      </c>
      <c r="E14" s="19" t="n">
        <v>0.000347222222222222</v>
      </c>
      <c r="F14" s="20" t="n">
        <f aca="false">G13</f>
        <v>46295.8715856482</v>
      </c>
      <c r="G14" s="20" t="n">
        <f aca="false">F14+IF(B14="Y",E14,0)</f>
        <v>46295.8719328704</v>
      </c>
      <c r="H14" s="17" t="s">
        <v>71</v>
      </c>
      <c r="I14" s="21" t="n">
        <v>0.274375</v>
      </c>
      <c r="J14" s="22" t="n">
        <f aca="false">ROUND((TIME(6,0,0)+(F14-Summary!$B$4)-I14)*1440,1)</f>
        <v>-0</v>
      </c>
      <c r="K14" s="23"/>
      <c r="L14" s="17"/>
    </row>
    <row r="15" customFormat="false" ht="15" hidden="false" customHeight="false" outlineLevel="0" collapsed="false">
      <c r="A15" s="17" t="n">
        <v>14</v>
      </c>
      <c r="B15" s="18" t="s">
        <v>45</v>
      </c>
      <c r="C15" s="17" t="s">
        <v>72</v>
      </c>
      <c r="D15" s="18" t="s">
        <v>15</v>
      </c>
      <c r="E15" s="19" t="n">
        <v>0.000590277777777778</v>
      </c>
      <c r="F15" s="20" t="n">
        <f aca="false">G14</f>
        <v>46295.8719328704</v>
      </c>
      <c r="G15" s="20" t="n">
        <f aca="false">F15+IF(B15="Y",E15,0)</f>
        <v>46295.8725231482</v>
      </c>
      <c r="H15" s="17" t="s">
        <v>73</v>
      </c>
      <c r="I15" s="21" t="n">
        <v>0.274722222222222</v>
      </c>
      <c r="J15" s="22" t="n">
        <f aca="false">ROUND((TIME(6,0,0)+(F15-Summary!$B$4)-I15)*1440,1)</f>
        <v>-0</v>
      </c>
      <c r="K15" s="23"/>
      <c r="L15" s="17"/>
    </row>
    <row r="16" customFormat="false" ht="15" hidden="false" customHeight="false" outlineLevel="0" collapsed="false">
      <c r="A16" s="17" t="n">
        <v>15</v>
      </c>
      <c r="B16" s="18" t="s">
        <v>45</v>
      </c>
      <c r="C16" s="17" t="s">
        <v>52</v>
      </c>
      <c r="D16" s="18" t="s">
        <v>19</v>
      </c>
      <c r="E16" s="19" t="n">
        <v>0.000115740740740741</v>
      </c>
      <c r="F16" s="20" t="n">
        <f aca="false">G15</f>
        <v>46295.8725231482</v>
      </c>
      <c r="G16" s="20" t="n">
        <f aca="false">F16+IF(B16="Y",E16,0)</f>
        <v>46295.8726388889</v>
      </c>
      <c r="H16" s="17" t="s">
        <v>74</v>
      </c>
      <c r="I16" s="21" t="n">
        <v>0.2753125</v>
      </c>
      <c r="J16" s="22" t="n">
        <f aca="false">ROUND((TIME(6,0,0)+(F16-Summary!$B$4)-I16)*1440,1)</f>
        <v>-0</v>
      </c>
      <c r="K16" s="23"/>
      <c r="L16" s="17"/>
    </row>
    <row r="17" customFormat="false" ht="15" hidden="false" customHeight="false" outlineLevel="0" collapsed="false">
      <c r="A17" s="17" t="n">
        <v>16</v>
      </c>
      <c r="B17" s="18" t="s">
        <v>45</v>
      </c>
      <c r="C17" s="17" t="s">
        <v>75</v>
      </c>
      <c r="D17" s="18" t="s">
        <v>15</v>
      </c>
      <c r="E17" s="19" t="n">
        <v>0.000439814814814815</v>
      </c>
      <c r="F17" s="20" t="n">
        <f aca="false">G16</f>
        <v>46295.8726388889</v>
      </c>
      <c r="G17" s="20" t="n">
        <f aca="false">F17+IF(B17="Y",E17,0)</f>
        <v>46295.8730787037</v>
      </c>
      <c r="H17" s="17" t="s">
        <v>76</v>
      </c>
      <c r="I17" s="21" t="n">
        <v>0.275428240740741</v>
      </c>
      <c r="J17" s="22" t="n">
        <f aca="false">ROUND((TIME(6,0,0)+(F17-Summary!$B$4)-I17)*1440,1)</f>
        <v>-0</v>
      </c>
      <c r="K17" s="23"/>
      <c r="L17" s="17"/>
    </row>
    <row r="18" customFormat="false" ht="15" hidden="false" customHeight="false" outlineLevel="0" collapsed="false">
      <c r="A18" s="17" t="n">
        <v>17</v>
      </c>
      <c r="B18" s="18" t="s">
        <v>45</v>
      </c>
      <c r="C18" s="17" t="s">
        <v>77</v>
      </c>
      <c r="D18" s="18" t="s">
        <v>15</v>
      </c>
      <c r="E18" s="19" t="n">
        <v>0.000381944444444445</v>
      </c>
      <c r="F18" s="20" t="n">
        <f aca="false">G17</f>
        <v>46295.8730787037</v>
      </c>
      <c r="G18" s="20" t="n">
        <f aca="false">F18+IF(B18="Y",E18,0)</f>
        <v>46295.8734606481</v>
      </c>
      <c r="H18" s="17" t="s">
        <v>78</v>
      </c>
      <c r="I18" s="21" t="n">
        <v>0.275868055555556</v>
      </c>
      <c r="J18" s="22" t="n">
        <f aca="false">ROUND((TIME(6,0,0)+(F18-Summary!$B$4)-I18)*1440,1)</f>
        <v>-0</v>
      </c>
      <c r="K18" s="23"/>
      <c r="L18" s="17"/>
    </row>
    <row r="19" customFormat="false" ht="15" hidden="false" customHeight="false" outlineLevel="0" collapsed="false">
      <c r="A19" s="17" t="n">
        <v>18</v>
      </c>
      <c r="B19" s="18" t="s">
        <v>45</v>
      </c>
      <c r="C19" s="17" t="s">
        <v>79</v>
      </c>
      <c r="D19" s="18" t="s">
        <v>15</v>
      </c>
      <c r="E19" s="19" t="n">
        <v>0.000636574074074074</v>
      </c>
      <c r="F19" s="20" t="n">
        <f aca="false">G18</f>
        <v>46295.8734606481</v>
      </c>
      <c r="G19" s="20" t="n">
        <f aca="false">F19+IF(B19="Y",E19,0)</f>
        <v>46295.8740972222</v>
      </c>
      <c r="H19" s="17" t="s">
        <v>80</v>
      </c>
      <c r="I19" s="21" t="n">
        <v>0.27625</v>
      </c>
      <c r="J19" s="22" t="n">
        <f aca="false">ROUND((TIME(6,0,0)+(F19-Summary!$B$4)-I19)*1440,1)</f>
        <v>-0</v>
      </c>
      <c r="K19" s="23"/>
      <c r="L19" s="17"/>
    </row>
    <row r="20" customFormat="false" ht="15" hidden="false" customHeight="false" outlineLevel="0" collapsed="false">
      <c r="A20" s="17" t="n">
        <v>19</v>
      </c>
      <c r="B20" s="18" t="s">
        <v>45</v>
      </c>
      <c r="C20" s="17" t="s">
        <v>81</v>
      </c>
      <c r="D20" s="18" t="s">
        <v>17</v>
      </c>
      <c r="E20" s="19" t="n">
        <v>0.00068287037037037</v>
      </c>
      <c r="F20" s="20" t="n">
        <f aca="false">G19</f>
        <v>46295.8740972222</v>
      </c>
      <c r="G20" s="20" t="n">
        <f aca="false">F20+IF(B20="Y",E20,0)</f>
        <v>46295.8747800926</v>
      </c>
      <c r="H20" s="17" t="s">
        <v>82</v>
      </c>
      <c r="I20" s="21" t="n">
        <v>0.27693287037037</v>
      </c>
      <c r="J20" s="22" t="n">
        <f aca="false">ROUND((TIME(6,0,0)+(F20-Summary!$B$4)-I20)*1440,1)</f>
        <v>-0.1</v>
      </c>
      <c r="K20" s="23"/>
      <c r="L20" s="17"/>
    </row>
    <row r="21" customFormat="false" ht="15" hidden="false" customHeight="false" outlineLevel="0" collapsed="false">
      <c r="A21" s="17" t="n">
        <v>20</v>
      </c>
      <c r="B21" s="18" t="s">
        <v>45</v>
      </c>
      <c r="C21" s="17" t="s">
        <v>83</v>
      </c>
      <c r="D21" s="18" t="s">
        <v>16</v>
      </c>
      <c r="E21" s="19" t="n">
        <v>0.000347222222222222</v>
      </c>
      <c r="F21" s="20" t="n">
        <f aca="false">G20</f>
        <v>46295.8747800926</v>
      </c>
      <c r="G21" s="20" t="n">
        <f aca="false">F21+IF(B21="Y",E21,0)</f>
        <v>46295.8751273148</v>
      </c>
      <c r="H21" s="17" t="s">
        <v>84</v>
      </c>
      <c r="I21" s="21" t="n">
        <v>0.277280092592593</v>
      </c>
      <c r="J21" s="22" t="n">
        <f aca="false">ROUND((TIME(6,0,0)+(F21-Summary!$B$4)-I21)*1440,1)</f>
        <v>0.4</v>
      </c>
      <c r="K21" s="23"/>
      <c r="L21" s="17"/>
    </row>
    <row r="22" customFormat="false" ht="15" hidden="false" customHeight="false" outlineLevel="0" collapsed="false">
      <c r="A22" s="17" t="n">
        <v>21</v>
      </c>
      <c r="B22" s="18" t="s">
        <v>45</v>
      </c>
      <c r="C22" s="17" t="s">
        <v>85</v>
      </c>
      <c r="D22" s="18" t="s">
        <v>15</v>
      </c>
      <c r="E22" s="19" t="n">
        <v>0.00162037037037037</v>
      </c>
      <c r="F22" s="20" t="n">
        <f aca="false">G21</f>
        <v>46295.8751273148</v>
      </c>
      <c r="G22" s="20" t="n">
        <f aca="false">F22+IF(B22="Y",E22,0)</f>
        <v>46295.8767476852</v>
      </c>
      <c r="H22" s="17" t="s">
        <v>86</v>
      </c>
      <c r="I22" s="21" t="n">
        <v>0.278900462962963</v>
      </c>
      <c r="J22" s="22" t="n">
        <f aca="false">ROUND((TIME(6,0,0)+(F22-Summary!$B$4)-I22)*1440,1)</f>
        <v>-1.4</v>
      </c>
      <c r="K22" s="23"/>
      <c r="L22" s="17"/>
    </row>
    <row r="23" customFormat="false" ht="15" hidden="false" customHeight="false" outlineLevel="0" collapsed="false">
      <c r="A23" s="17" t="n">
        <v>22</v>
      </c>
      <c r="B23" s="18" t="s">
        <v>45</v>
      </c>
      <c r="C23" s="17" t="s">
        <v>52</v>
      </c>
      <c r="D23" s="18" t="s">
        <v>19</v>
      </c>
      <c r="E23" s="19" t="n">
        <v>0.000115740740740741</v>
      </c>
      <c r="F23" s="20" t="n">
        <f aca="false">G22</f>
        <v>46295.8767476852</v>
      </c>
      <c r="G23" s="20" t="n">
        <f aca="false">F23+IF(B23="Y",E23,0)</f>
        <v>46295.8768634259</v>
      </c>
      <c r="H23" s="17" t="s">
        <v>87</v>
      </c>
      <c r="I23" s="21" t="n">
        <v>0.279016203703704</v>
      </c>
      <c r="J23" s="22" t="n">
        <f aca="false">ROUND((TIME(6,0,0)+(F23-Summary!$B$4)-I23)*1440,1)</f>
        <v>0.7</v>
      </c>
      <c r="K23" s="23"/>
      <c r="L23" s="17"/>
    </row>
    <row r="24" customFormat="false" ht="15" hidden="false" customHeight="false" outlineLevel="0" collapsed="false">
      <c r="A24" s="17" t="n">
        <v>23</v>
      </c>
      <c r="B24" s="18" t="s">
        <v>45</v>
      </c>
      <c r="C24" s="17" t="s">
        <v>88</v>
      </c>
      <c r="D24" s="18" t="s">
        <v>16</v>
      </c>
      <c r="E24" s="19" t="n">
        <v>6.94444444444444E-005</v>
      </c>
      <c r="F24" s="20" t="n">
        <f aca="false">G23</f>
        <v>46295.8768634259</v>
      </c>
      <c r="G24" s="20" t="n">
        <f aca="false">F24+IF(B24="Y",E24,0)</f>
        <v>46295.8769328704</v>
      </c>
      <c r="H24" s="17" t="s">
        <v>89</v>
      </c>
      <c r="I24" s="21" t="n">
        <v>0.2790625</v>
      </c>
      <c r="J24" s="22" t="n">
        <f aca="false">ROUND((TIME(6,0,0)+(F24-Summary!$B$4)-I24)*1440,1)</f>
        <v>0.8</v>
      </c>
      <c r="K24" s="23"/>
      <c r="L24" s="17"/>
    </row>
    <row r="25" customFormat="false" ht="15" hidden="false" customHeight="false" outlineLevel="0" collapsed="false">
      <c r="A25" s="17" t="n">
        <v>24</v>
      </c>
      <c r="B25" s="18" t="s">
        <v>45</v>
      </c>
      <c r="C25" s="17" t="s">
        <v>90</v>
      </c>
      <c r="D25" s="18" t="s">
        <v>16</v>
      </c>
      <c r="E25" s="19" t="n">
        <v>0.00100694444444444</v>
      </c>
      <c r="F25" s="20" t="n">
        <f aca="false">G24</f>
        <v>46295.8769328704</v>
      </c>
      <c r="G25" s="20" t="n">
        <f aca="false">F25+IF(B25="Y",E25,0)</f>
        <v>46295.8779398148</v>
      </c>
      <c r="H25" s="17" t="s">
        <v>91</v>
      </c>
      <c r="I25" s="21" t="n">
        <v>0.279131944444444</v>
      </c>
      <c r="J25" s="22" t="n">
        <f aca="false">ROUND((TIME(6,0,0)+(F25-Summary!$B$4)-I25)*1440,1)</f>
        <v>0.8</v>
      </c>
      <c r="K25" s="23"/>
      <c r="L25" s="17"/>
    </row>
    <row r="26" customFormat="false" ht="15" hidden="false" customHeight="false" outlineLevel="0" collapsed="false">
      <c r="A26" s="17" t="n">
        <v>25</v>
      </c>
      <c r="B26" s="18" t="s">
        <v>45</v>
      </c>
      <c r="C26" s="17" t="s">
        <v>92</v>
      </c>
      <c r="D26" s="18" t="s">
        <v>18</v>
      </c>
      <c r="E26" s="19" t="n">
        <v>9.25925925925926E-005</v>
      </c>
      <c r="F26" s="20" t="n">
        <f aca="false">G25</f>
        <v>46295.8779398148</v>
      </c>
      <c r="G26" s="20" t="n">
        <f aca="false">F26+IF(B26="Y",E26,0)</f>
        <v>46295.8780324074</v>
      </c>
      <c r="H26" s="17" t="s">
        <v>93</v>
      </c>
      <c r="I26" s="21" t="n">
        <v>0.279224537037037</v>
      </c>
      <c r="J26" s="22" t="n">
        <f aca="false">ROUND((TIME(6,0,0)+(F26-Summary!$B$4)-I26)*1440,1)</f>
        <v>2.2</v>
      </c>
      <c r="K26" s="23"/>
      <c r="L26" s="17"/>
    </row>
    <row r="27" customFormat="false" ht="15" hidden="false" customHeight="false" outlineLevel="0" collapsed="false">
      <c r="A27" s="17" t="n">
        <v>26</v>
      </c>
      <c r="B27" s="18" t="s">
        <v>45</v>
      </c>
      <c r="C27" s="17" t="s">
        <v>94</v>
      </c>
      <c r="D27" s="18" t="s">
        <v>15</v>
      </c>
      <c r="E27" s="19" t="n">
        <v>0.000555555555555556</v>
      </c>
      <c r="F27" s="20" t="n">
        <f aca="false">G26</f>
        <v>46295.8780324074</v>
      </c>
      <c r="G27" s="20" t="n">
        <f aca="false">F27+IF(B27="Y",E27,0)</f>
        <v>46295.878587963</v>
      </c>
      <c r="H27" s="17" t="s">
        <v>95</v>
      </c>
      <c r="I27" s="21" t="n">
        <v>0.27931712962963</v>
      </c>
      <c r="J27" s="22" t="n">
        <f aca="false">ROUND((TIME(6,0,0)+(F27-Summary!$B$4)-I27)*1440,1)</f>
        <v>2.2</v>
      </c>
      <c r="K27" s="23"/>
      <c r="L27" s="17"/>
    </row>
    <row r="28" customFormat="false" ht="15" hidden="false" customHeight="false" outlineLevel="0" collapsed="false">
      <c r="A28" s="17" t="n">
        <v>27</v>
      </c>
      <c r="B28" s="18" t="s">
        <v>45</v>
      </c>
      <c r="C28" s="17" t="s">
        <v>96</v>
      </c>
      <c r="D28" s="18" t="s">
        <v>15</v>
      </c>
      <c r="E28" s="19" t="n">
        <v>0.000393518518518519</v>
      </c>
      <c r="F28" s="20" t="n">
        <f aca="false">G27</f>
        <v>46295.878587963</v>
      </c>
      <c r="G28" s="20" t="n">
        <f aca="false">F28+IF(B28="Y",E28,0)</f>
        <v>46295.8789814815</v>
      </c>
      <c r="H28" s="17" t="s">
        <v>97</v>
      </c>
      <c r="I28" s="21" t="n">
        <v>0.279710648148148</v>
      </c>
      <c r="J28" s="22" t="n">
        <f aca="false">ROUND((TIME(6,0,0)+(F28-Summary!$B$4)-I28)*1440,1)</f>
        <v>2.4</v>
      </c>
      <c r="K28" s="23"/>
      <c r="L28" s="17"/>
    </row>
    <row r="29" customFormat="false" ht="15" hidden="false" customHeight="false" outlineLevel="0" collapsed="false">
      <c r="A29" s="17" t="n">
        <v>28</v>
      </c>
      <c r="B29" s="18" t="s">
        <v>45</v>
      </c>
      <c r="C29" s="17" t="s">
        <v>66</v>
      </c>
      <c r="D29" s="18" t="s">
        <v>18</v>
      </c>
      <c r="E29" s="19" t="n">
        <v>6.94444444444444E-005</v>
      </c>
      <c r="F29" s="20" t="n">
        <f aca="false">G28</f>
        <v>46295.8789814815</v>
      </c>
      <c r="G29" s="20" t="n">
        <f aca="false">F29+IF(B29="Y",E29,0)</f>
        <v>46295.8790509259</v>
      </c>
      <c r="H29" s="17" t="s">
        <v>98</v>
      </c>
      <c r="I29" s="21" t="n">
        <v>0.280104166666667</v>
      </c>
      <c r="J29" s="22" t="n">
        <f aca="false">ROUND((TIME(6,0,0)+(F29-Summary!$B$4)-I29)*1440,1)</f>
        <v>2.4</v>
      </c>
      <c r="K29" s="23"/>
      <c r="L29" s="17"/>
    </row>
    <row r="30" customFormat="false" ht="15" hidden="false" customHeight="false" outlineLevel="0" collapsed="false">
      <c r="A30" s="17" t="n">
        <v>29</v>
      </c>
      <c r="B30" s="18" t="s">
        <v>45</v>
      </c>
      <c r="C30" s="17" t="s">
        <v>99</v>
      </c>
      <c r="D30" s="18" t="s">
        <v>17</v>
      </c>
      <c r="E30" s="19" t="n">
        <v>0.000277777777777778</v>
      </c>
      <c r="F30" s="20" t="n">
        <f aca="false">G29</f>
        <v>46295.8790509259</v>
      </c>
      <c r="G30" s="20" t="n">
        <f aca="false">F30+IF(B30="Y",E30,0)</f>
        <v>46295.8793287037</v>
      </c>
      <c r="H30" s="17" t="s">
        <v>100</v>
      </c>
      <c r="I30" s="21" t="n">
        <v>0.280173611111111</v>
      </c>
      <c r="J30" s="22" t="n">
        <f aca="false">ROUND((TIME(6,0,0)+(F30-Summary!$B$4)-I30)*1440,1)</f>
        <v>2.4</v>
      </c>
      <c r="K30" s="23"/>
      <c r="L30" s="17"/>
    </row>
    <row r="31" customFormat="false" ht="15" hidden="false" customHeight="false" outlineLevel="0" collapsed="false">
      <c r="A31" s="17" t="n">
        <v>30</v>
      </c>
      <c r="B31" s="18" t="s">
        <v>45</v>
      </c>
      <c r="C31" s="17" t="s">
        <v>101</v>
      </c>
      <c r="D31" s="18" t="s">
        <v>15</v>
      </c>
      <c r="E31" s="19" t="n">
        <v>0.000266203703703704</v>
      </c>
      <c r="F31" s="20" t="n">
        <f aca="false">G30</f>
        <v>46295.8793287037</v>
      </c>
      <c r="G31" s="20" t="n">
        <f aca="false">F31+IF(B31="Y",E31,0)</f>
        <v>46295.8795949074</v>
      </c>
      <c r="H31" s="17" t="s">
        <v>102</v>
      </c>
      <c r="I31" s="21" t="n">
        <v>0.280462962962963</v>
      </c>
      <c r="J31" s="22" t="n">
        <f aca="false">ROUND((TIME(6,0,0)+(F31-Summary!$B$4)-I31)*1440,1)</f>
        <v>2.4</v>
      </c>
      <c r="K31" s="23"/>
      <c r="L31" s="17"/>
    </row>
    <row r="32" customFormat="false" ht="15" hidden="false" customHeight="false" outlineLevel="0" collapsed="false">
      <c r="A32" s="17" t="n">
        <v>31</v>
      </c>
      <c r="B32" s="18" t="s">
        <v>45</v>
      </c>
      <c r="C32" s="17" t="s">
        <v>103</v>
      </c>
      <c r="D32" s="18" t="s">
        <v>17</v>
      </c>
      <c r="E32" s="19" t="n">
        <v>0.000393518518518519</v>
      </c>
      <c r="F32" s="20" t="n">
        <f aca="false">G31</f>
        <v>46295.8795949074</v>
      </c>
      <c r="G32" s="20" t="n">
        <f aca="false">F32+IF(B32="Y",E32,0)</f>
        <v>46295.8799884259</v>
      </c>
      <c r="H32" s="17" t="s">
        <v>104</v>
      </c>
      <c r="I32" s="21" t="n">
        <v>0.280729166666667</v>
      </c>
      <c r="J32" s="22" t="n">
        <f aca="false">ROUND((TIME(6,0,0)+(F32-Summary!$B$4)-I32)*1440,1)</f>
        <v>2.4</v>
      </c>
      <c r="K32" s="23"/>
      <c r="L32" s="17"/>
    </row>
    <row r="33" customFormat="false" ht="15" hidden="false" customHeight="false" outlineLevel="0" collapsed="false">
      <c r="A33" s="17" t="n">
        <v>32</v>
      </c>
      <c r="B33" s="18" t="s">
        <v>45</v>
      </c>
      <c r="C33" s="17" t="s">
        <v>52</v>
      </c>
      <c r="D33" s="18" t="s">
        <v>19</v>
      </c>
      <c r="E33" s="19" t="n">
        <v>0.000115740740740741</v>
      </c>
      <c r="F33" s="20" t="n">
        <f aca="false">G32</f>
        <v>46295.8799884259</v>
      </c>
      <c r="G33" s="20" t="n">
        <f aca="false">F33+IF(B33="Y",E33,0)</f>
        <v>46295.8801041667</v>
      </c>
      <c r="H33" s="17" t="s">
        <v>105</v>
      </c>
      <c r="I33" s="21" t="n">
        <v>0.281006944444445</v>
      </c>
      <c r="J33" s="22" t="n">
        <f aca="false">ROUND((TIME(6,0,0)+(F33-Summary!$B$4)-I33)*1440,1)</f>
        <v>2.5</v>
      </c>
      <c r="K33" s="23"/>
      <c r="L33" s="17"/>
    </row>
    <row r="34" customFormat="false" ht="15" hidden="false" customHeight="false" outlineLevel="0" collapsed="false">
      <c r="A34" s="17" t="n">
        <v>33</v>
      </c>
      <c r="B34" s="18" t="s">
        <v>45</v>
      </c>
      <c r="C34" s="17" t="s">
        <v>106</v>
      </c>
      <c r="D34" s="18" t="s">
        <v>15</v>
      </c>
      <c r="E34" s="19" t="n">
        <v>0.000347222222222222</v>
      </c>
      <c r="F34" s="20" t="n">
        <f aca="false">G33</f>
        <v>46295.8801041667</v>
      </c>
      <c r="G34" s="20" t="n">
        <f aca="false">F34+IF(B34="Y",E34,0)</f>
        <v>46295.8804513889</v>
      </c>
      <c r="H34" s="17" t="s">
        <v>107</v>
      </c>
      <c r="I34" s="21" t="n">
        <v>0.281122685185185</v>
      </c>
      <c r="J34" s="22" t="n">
        <f aca="false">ROUND((TIME(6,0,0)+(F34-Summary!$B$4)-I34)*1440,1)</f>
        <v>2.5</v>
      </c>
      <c r="K34" s="23"/>
      <c r="L34" s="17"/>
    </row>
    <row r="35" customFormat="false" ht="15" hidden="false" customHeight="false" outlineLevel="0" collapsed="false">
      <c r="A35" s="17" t="n">
        <v>34</v>
      </c>
      <c r="B35" s="18" t="s">
        <v>45</v>
      </c>
      <c r="C35" s="17" t="s">
        <v>108</v>
      </c>
      <c r="D35" s="18" t="s">
        <v>15</v>
      </c>
      <c r="E35" s="19" t="n">
        <v>0.00068287037037037</v>
      </c>
      <c r="F35" s="20" t="n">
        <f aca="false">G34</f>
        <v>46295.8804513889</v>
      </c>
      <c r="G35" s="20" t="n">
        <f aca="false">F35+IF(B35="Y",E35,0)</f>
        <v>46295.8811342593</v>
      </c>
      <c r="H35" s="17" t="s">
        <v>109</v>
      </c>
      <c r="I35" s="21" t="n">
        <v>0.281469907407407</v>
      </c>
      <c r="J35" s="22" t="n">
        <f aca="false">ROUND((TIME(6,0,0)+(F35-Summary!$B$4)-I35)*1440,1)</f>
        <v>2.5</v>
      </c>
      <c r="K35" s="23"/>
      <c r="L35" s="17" t="s">
        <v>110</v>
      </c>
    </row>
    <row r="36" customFormat="false" ht="15" hidden="false" customHeight="false" outlineLevel="0" collapsed="false">
      <c r="A36" s="17" t="n">
        <v>35</v>
      </c>
      <c r="B36" s="18" t="s">
        <v>45</v>
      </c>
      <c r="C36" s="17" t="s">
        <v>111</v>
      </c>
      <c r="D36" s="18" t="s">
        <v>15</v>
      </c>
      <c r="E36" s="19" t="n">
        <v>0.000428240740740741</v>
      </c>
      <c r="F36" s="20" t="n">
        <f aca="false">G35</f>
        <v>46295.8811342593</v>
      </c>
      <c r="G36" s="20" t="n">
        <f aca="false">F36+IF(B36="Y",E36,0)</f>
        <v>46295.8815625</v>
      </c>
      <c r="H36" s="17" t="s">
        <v>112</v>
      </c>
      <c r="I36" s="21" t="n">
        <v>0.282152777777778</v>
      </c>
      <c r="J36" s="22" t="n">
        <f aca="false">ROUND((TIME(6,0,0)+(F36-Summary!$B$4)-I36)*1440,1)</f>
        <v>2.5</v>
      </c>
      <c r="K36" s="23"/>
      <c r="L36" s="17"/>
    </row>
    <row r="37" customFormat="false" ht="15" hidden="false" customHeight="false" outlineLevel="0" collapsed="false">
      <c r="A37" s="17" t="n">
        <v>36</v>
      </c>
      <c r="B37" s="18" t="s">
        <v>45</v>
      </c>
      <c r="C37" s="17" t="s">
        <v>113</v>
      </c>
      <c r="D37" s="18" t="s">
        <v>15</v>
      </c>
      <c r="E37" s="19" t="n">
        <v>0.000428240740740741</v>
      </c>
      <c r="F37" s="20" t="n">
        <f aca="false">G36</f>
        <v>46295.8815625</v>
      </c>
      <c r="G37" s="20" t="n">
        <f aca="false">F37+IF(B37="Y",E37,0)</f>
        <v>46295.8819907407</v>
      </c>
      <c r="H37" s="17" t="s">
        <v>114</v>
      </c>
      <c r="I37" s="21" t="n">
        <v>0.282581018518519</v>
      </c>
      <c r="J37" s="22" t="n">
        <f aca="false">ROUND((TIME(6,0,0)+(F37-Summary!$B$4)-I37)*1440,1)</f>
        <v>2.5</v>
      </c>
      <c r="K37" s="23"/>
      <c r="L37" s="17"/>
    </row>
    <row r="38" customFormat="false" ht="15" hidden="false" customHeight="false" outlineLevel="0" collapsed="false">
      <c r="A38" s="17" t="n">
        <v>37</v>
      </c>
      <c r="B38" s="18" t="s">
        <v>45</v>
      </c>
      <c r="C38" s="17" t="s">
        <v>115</v>
      </c>
      <c r="D38" s="18" t="s">
        <v>18</v>
      </c>
      <c r="E38" s="19" t="n">
        <v>9.25925925925926E-005</v>
      </c>
      <c r="F38" s="20" t="n">
        <f aca="false">G37</f>
        <v>46295.8819907407</v>
      </c>
      <c r="G38" s="20" t="n">
        <f aca="false">F38+IF(B38="Y",E38,0)</f>
        <v>46295.8820833333</v>
      </c>
      <c r="H38" s="17" t="s">
        <v>116</v>
      </c>
      <c r="I38" s="21" t="n">
        <v>0.283009259259259</v>
      </c>
      <c r="J38" s="22" t="n">
        <f aca="false">ROUND((TIME(6,0,0)+(F38-Summary!$B$4)-I38)*1440,1)</f>
        <v>2.5</v>
      </c>
      <c r="K38" s="23"/>
      <c r="L38" s="17"/>
    </row>
    <row r="39" customFormat="false" ht="15" hidden="false" customHeight="false" outlineLevel="0" collapsed="false">
      <c r="A39" s="17" t="n">
        <v>38</v>
      </c>
      <c r="B39" s="18" t="s">
        <v>45</v>
      </c>
      <c r="C39" s="17" t="s">
        <v>117</v>
      </c>
      <c r="D39" s="18" t="s">
        <v>14</v>
      </c>
      <c r="E39" s="19" t="n">
        <v>0.00274305555555556</v>
      </c>
      <c r="F39" s="20" t="n">
        <f aca="false">G38</f>
        <v>46295.8820833333</v>
      </c>
      <c r="G39" s="20" t="n">
        <f aca="false">F39+IF(B39="Y",E39,0)</f>
        <v>46295.8848263889</v>
      </c>
      <c r="H39" s="17" t="s">
        <v>118</v>
      </c>
      <c r="I39" s="21" t="n">
        <v>0.283101851851852</v>
      </c>
      <c r="J39" s="22" t="n">
        <f aca="false">ROUND((TIME(6,0,0)+(F39-Summary!$B$4)-I39)*1440,1)</f>
        <v>2.5</v>
      </c>
      <c r="K39" s="23"/>
      <c r="L39" s="17"/>
    </row>
    <row r="40" customFormat="false" ht="15" hidden="false" customHeight="false" outlineLevel="0" collapsed="false">
      <c r="A40" s="17" t="n">
        <v>39</v>
      </c>
      <c r="B40" s="18" t="s">
        <v>45</v>
      </c>
      <c r="C40" s="17" t="s">
        <v>66</v>
      </c>
      <c r="D40" s="18" t="s">
        <v>18</v>
      </c>
      <c r="E40" s="19" t="n">
        <v>6.94444444444444E-005</v>
      </c>
      <c r="F40" s="20" t="n">
        <f aca="false">G39</f>
        <v>46295.8848263889</v>
      </c>
      <c r="G40" s="20" t="n">
        <f aca="false">F40+IF(B40="Y",E40,0)</f>
        <v>46295.8848958333</v>
      </c>
      <c r="H40" s="17" t="s">
        <v>119</v>
      </c>
      <c r="I40" s="21" t="n">
        <v>0.285844907407407</v>
      </c>
      <c r="J40" s="22" t="n">
        <f aca="false">ROUND((TIME(6,0,0)+(F40-Summary!$B$4)-I40)*1440,1)</f>
        <v>2.5</v>
      </c>
      <c r="K40" s="23"/>
      <c r="L40" s="17"/>
    </row>
    <row r="41" customFormat="false" ht="15" hidden="false" customHeight="false" outlineLevel="0" collapsed="false">
      <c r="A41" s="17" t="n">
        <v>40</v>
      </c>
      <c r="B41" s="18" t="s">
        <v>45</v>
      </c>
      <c r="C41" s="17" t="s">
        <v>120</v>
      </c>
      <c r="D41" s="18" t="s">
        <v>14</v>
      </c>
      <c r="E41" s="19" t="n">
        <v>0.00299768518518519</v>
      </c>
      <c r="F41" s="20" t="n">
        <f aca="false">G40</f>
        <v>46295.8848958333</v>
      </c>
      <c r="G41" s="20" t="n">
        <f aca="false">F41+IF(B41="Y",E41,0)</f>
        <v>46295.8878935185</v>
      </c>
      <c r="H41" s="17" t="s">
        <v>121</v>
      </c>
      <c r="I41" s="21" t="n">
        <v>0.285914351851852</v>
      </c>
      <c r="J41" s="22" t="n">
        <f aca="false">ROUND((TIME(6,0,0)+(F41-Summary!$B$4)-I41)*1440,1)</f>
        <v>2.5</v>
      </c>
      <c r="K41" s="23"/>
      <c r="L41" s="17"/>
    </row>
    <row r="42" customFormat="false" ht="15" hidden="false" customHeight="false" outlineLevel="0" collapsed="false">
      <c r="A42" s="17" t="n">
        <v>41</v>
      </c>
      <c r="B42" s="18" t="s">
        <v>45</v>
      </c>
      <c r="C42" s="17" t="s">
        <v>122</v>
      </c>
      <c r="D42" s="18" t="s">
        <v>15</v>
      </c>
      <c r="E42" s="19" t="n">
        <v>0.0012962962962963</v>
      </c>
      <c r="F42" s="20" t="n">
        <f aca="false">G41</f>
        <v>46295.8878935185</v>
      </c>
      <c r="G42" s="20" t="n">
        <f aca="false">F42+IF(B42="Y",E42,0)</f>
        <v>46295.8891898148</v>
      </c>
      <c r="H42" s="17" t="s">
        <v>123</v>
      </c>
      <c r="I42" s="21" t="n">
        <v>0.288912037037037</v>
      </c>
      <c r="J42" s="22" t="n">
        <f aca="false">ROUND((TIME(6,0,0)+(F42-Summary!$B$4)-I42)*1440,1)</f>
        <v>2.5</v>
      </c>
      <c r="K42" s="23"/>
      <c r="L42" s="17"/>
    </row>
    <row r="43" customFormat="false" ht="15" hidden="false" customHeight="false" outlineLevel="0" collapsed="false">
      <c r="A43" s="17" t="n">
        <v>42</v>
      </c>
      <c r="B43" s="18" t="s">
        <v>45</v>
      </c>
      <c r="C43" s="17" t="s">
        <v>124</v>
      </c>
      <c r="D43" s="18" t="s">
        <v>15</v>
      </c>
      <c r="E43" s="19" t="n">
        <v>0.00103009259259259</v>
      </c>
      <c r="F43" s="20" t="n">
        <f aca="false">G42</f>
        <v>46295.8891898148</v>
      </c>
      <c r="G43" s="20" t="n">
        <f aca="false">F43+IF(B43="Y",E43,0)</f>
        <v>46295.8902199074</v>
      </c>
      <c r="H43" s="17" t="s">
        <v>125</v>
      </c>
      <c r="I43" s="21" t="n">
        <v>0.290196759259259</v>
      </c>
      <c r="J43" s="22" t="n">
        <f aca="false">ROUND((TIME(6,0,0)+(F43-Summary!$B$4)-I43)*1440,1)</f>
        <v>2.6</v>
      </c>
      <c r="K43" s="23"/>
      <c r="L43" s="17"/>
    </row>
    <row r="44" customFormat="false" ht="15" hidden="false" customHeight="false" outlineLevel="0" collapsed="false">
      <c r="A44" s="17" t="n">
        <v>43</v>
      </c>
      <c r="B44" s="18" t="s">
        <v>45</v>
      </c>
      <c r="C44" s="17" t="s">
        <v>126</v>
      </c>
      <c r="D44" s="18" t="s">
        <v>15</v>
      </c>
      <c r="E44" s="19" t="n">
        <v>0.00025462962962963</v>
      </c>
      <c r="F44" s="20" t="n">
        <f aca="false">G43</f>
        <v>46295.8902199074</v>
      </c>
      <c r="G44" s="20" t="n">
        <f aca="false">F44+IF(B44="Y",E44,0)</f>
        <v>46295.890474537</v>
      </c>
      <c r="H44" s="17" t="s">
        <v>127</v>
      </c>
      <c r="I44" s="21" t="n">
        <v>0.291226851851852</v>
      </c>
      <c r="J44" s="22" t="n">
        <f aca="false">ROUND((TIME(6,0,0)+(F44-Summary!$B$4)-I44)*1440,1)</f>
        <v>2.6</v>
      </c>
      <c r="K44" s="23"/>
      <c r="L44" s="17"/>
    </row>
    <row r="45" customFormat="false" ht="15" hidden="false" customHeight="false" outlineLevel="0" collapsed="false">
      <c r="A45" s="17" t="n">
        <v>44</v>
      </c>
      <c r="B45" s="18" t="s">
        <v>45</v>
      </c>
      <c r="C45" s="17" t="s">
        <v>52</v>
      </c>
      <c r="D45" s="18" t="s">
        <v>19</v>
      </c>
      <c r="E45" s="19" t="n">
        <v>0.000115740740740741</v>
      </c>
      <c r="F45" s="20" t="n">
        <f aca="false">G44</f>
        <v>46295.890474537</v>
      </c>
      <c r="G45" s="20" t="n">
        <f aca="false">F45+IF(B45="Y",E45,0)</f>
        <v>46295.8905902778</v>
      </c>
      <c r="H45" s="17" t="s">
        <v>128</v>
      </c>
      <c r="I45" s="21" t="n">
        <v>0.291481481481482</v>
      </c>
      <c r="J45" s="22" t="n">
        <f aca="false">ROUND((TIME(6,0,0)+(F45-Summary!$B$4)-I45)*1440,1)</f>
        <v>2.6</v>
      </c>
      <c r="K45" s="23"/>
      <c r="L45" s="17"/>
    </row>
    <row r="46" customFormat="false" ht="15" hidden="false" customHeight="false" outlineLevel="0" collapsed="false">
      <c r="A46" s="17" t="n">
        <v>45</v>
      </c>
      <c r="B46" s="18" t="s">
        <v>45</v>
      </c>
      <c r="C46" s="17" t="s">
        <v>129</v>
      </c>
      <c r="D46" s="18" t="s">
        <v>16</v>
      </c>
      <c r="E46" s="19" t="n">
        <v>0.000347222222222222</v>
      </c>
      <c r="F46" s="20" t="n">
        <f aca="false">G45</f>
        <v>46295.8905902778</v>
      </c>
      <c r="G46" s="20" t="n">
        <f aca="false">F46+IF(B46="Y",E46,0)</f>
        <v>46295.8909375</v>
      </c>
      <c r="H46" s="17" t="s">
        <v>130</v>
      </c>
      <c r="I46" s="21" t="n">
        <v>0.291597222222222</v>
      </c>
      <c r="J46" s="22" t="n">
        <f aca="false">ROUND((TIME(6,0,0)+(F46-Summary!$B$4)-I46)*1440,1)</f>
        <v>2.6</v>
      </c>
      <c r="K46" s="23"/>
      <c r="L46" s="17"/>
    </row>
    <row r="47" customFormat="false" ht="15" hidden="false" customHeight="false" outlineLevel="0" collapsed="false">
      <c r="A47" s="17" t="n">
        <v>46</v>
      </c>
      <c r="B47" s="18" t="s">
        <v>45</v>
      </c>
      <c r="C47" s="17" t="s">
        <v>52</v>
      </c>
      <c r="D47" s="18" t="s">
        <v>19</v>
      </c>
      <c r="E47" s="19" t="n">
        <v>0.000115740740740741</v>
      </c>
      <c r="F47" s="20" t="n">
        <f aca="false">G46</f>
        <v>46295.8909375</v>
      </c>
      <c r="G47" s="20" t="n">
        <f aca="false">F47+IF(B47="Y",E47,0)</f>
        <v>46295.8910532407</v>
      </c>
      <c r="H47" s="17" t="s">
        <v>131</v>
      </c>
      <c r="I47" s="21" t="n">
        <v>0.291944444444445</v>
      </c>
      <c r="J47" s="22" t="n">
        <f aca="false">ROUND((TIME(6,0,0)+(F47-Summary!$B$4)-I47)*1440,1)</f>
        <v>2.6</v>
      </c>
      <c r="K47" s="23"/>
      <c r="L47" s="17"/>
    </row>
    <row r="48" customFormat="false" ht="15" hidden="false" customHeight="false" outlineLevel="0" collapsed="false">
      <c r="A48" s="17" t="n">
        <v>47</v>
      </c>
      <c r="B48" s="18" t="s">
        <v>45</v>
      </c>
      <c r="C48" s="17" t="s">
        <v>132</v>
      </c>
      <c r="D48" s="18" t="s">
        <v>14</v>
      </c>
      <c r="E48" s="19" t="n">
        <v>0.0162615740740741</v>
      </c>
      <c r="F48" s="20" t="n">
        <f aca="false">G47</f>
        <v>46295.8910532407</v>
      </c>
      <c r="G48" s="20" t="n">
        <f aca="false">F48+IF(B48="Y",E48,0)</f>
        <v>46295.9073148148</v>
      </c>
      <c r="H48" s="17" t="s">
        <v>133</v>
      </c>
      <c r="I48" s="21" t="n">
        <v>0.292060185185185</v>
      </c>
      <c r="J48" s="22" t="n">
        <f aca="false">ROUND((TIME(6,0,0)+(F48-Summary!$B$4)-I48)*1440,1)</f>
        <v>2.6</v>
      </c>
      <c r="K48" s="23"/>
      <c r="L48" s="17" t="s">
        <v>134</v>
      </c>
    </row>
    <row r="49" customFormat="false" ht="15" hidden="false" customHeight="false" outlineLevel="0" collapsed="false">
      <c r="A49" s="17" t="n">
        <v>48</v>
      </c>
      <c r="B49" s="18" t="s">
        <v>45</v>
      </c>
      <c r="C49" s="17" t="s">
        <v>135</v>
      </c>
      <c r="D49" s="18" t="s">
        <v>18</v>
      </c>
      <c r="E49" s="19" t="n">
        <v>6.94444444444444E-005</v>
      </c>
      <c r="F49" s="20" t="n">
        <f aca="false">G48</f>
        <v>46295.9073148148</v>
      </c>
      <c r="G49" s="20" t="n">
        <f aca="false">F49+IF(B49="Y",E49,0)</f>
        <v>46295.9073842593</v>
      </c>
      <c r="H49" s="17" t="s">
        <v>136</v>
      </c>
      <c r="I49" s="21" t="n">
        <v>0.29212962962963</v>
      </c>
      <c r="J49" s="22" t="n">
        <f aca="false">ROUND((TIME(6,0,0)+(F49-Summary!$B$4)-I49)*1440,1)</f>
        <v>25.9</v>
      </c>
      <c r="K49" s="23"/>
      <c r="L49" s="17"/>
    </row>
    <row r="50" customFormat="false" ht="15" hidden="false" customHeight="false" outlineLevel="0" collapsed="false">
      <c r="A50" s="17" t="n">
        <v>49</v>
      </c>
      <c r="B50" s="18" t="s">
        <v>45</v>
      </c>
      <c r="C50" s="17" t="s">
        <v>137</v>
      </c>
      <c r="D50" s="18" t="s">
        <v>16</v>
      </c>
      <c r="E50" s="19" t="n">
        <v>0.000520833333333333</v>
      </c>
      <c r="F50" s="20" t="n">
        <f aca="false">G49</f>
        <v>46295.9073842593</v>
      </c>
      <c r="G50" s="20" t="n">
        <f aca="false">F50+IF(B50="Y",E50,0)</f>
        <v>46295.9079050926</v>
      </c>
      <c r="H50" s="17" t="s">
        <v>138</v>
      </c>
      <c r="I50" s="21" t="n">
        <v>0.292650462962963</v>
      </c>
      <c r="J50" s="22" t="n">
        <f aca="false">ROUND((TIME(6,0,0)+(F50-Summary!$B$4)-I50)*1440,1)</f>
        <v>25.2</v>
      </c>
      <c r="K50" s="23"/>
      <c r="L50" s="17"/>
    </row>
    <row r="51" customFormat="false" ht="15" hidden="false" customHeight="false" outlineLevel="0" collapsed="false">
      <c r="A51" s="17" t="n">
        <v>50</v>
      </c>
      <c r="B51" s="18" t="s">
        <v>45</v>
      </c>
      <c r="C51" s="17" t="s">
        <v>139</v>
      </c>
      <c r="D51" s="18" t="s">
        <v>16</v>
      </c>
      <c r="E51" s="19" t="n">
        <v>0.000520833333333333</v>
      </c>
      <c r="F51" s="20" t="n">
        <f aca="false">G50</f>
        <v>46295.9079050926</v>
      </c>
      <c r="G51" s="20" t="n">
        <f aca="false">F51+IF(B51="Y",E51,0)</f>
        <v>46295.9084259259</v>
      </c>
      <c r="H51" s="17" t="s">
        <v>140</v>
      </c>
      <c r="I51" s="21" t="n">
        <v>0.293171296296296</v>
      </c>
      <c r="J51" s="22" t="n">
        <f aca="false">ROUND((TIME(6,0,0)+(F51-Summary!$B$4)-I51)*1440,1)</f>
        <v>25.2</v>
      </c>
      <c r="K51" s="23"/>
      <c r="L51" s="17"/>
    </row>
    <row r="52" customFormat="false" ht="15" hidden="false" customHeight="false" outlineLevel="0" collapsed="false">
      <c r="A52" s="17" t="n">
        <v>51</v>
      </c>
      <c r="B52" s="18" t="s">
        <v>45</v>
      </c>
      <c r="C52" s="17" t="s">
        <v>141</v>
      </c>
      <c r="D52" s="18" t="s">
        <v>16</v>
      </c>
      <c r="E52" s="19" t="n">
        <v>0.000636574074074074</v>
      </c>
      <c r="F52" s="20" t="n">
        <f aca="false">G51</f>
        <v>46295.9084259259</v>
      </c>
      <c r="G52" s="20" t="n">
        <f aca="false">F52+IF(B52="Y",E52,0)</f>
        <v>46295.9090625</v>
      </c>
      <c r="H52" s="17" t="s">
        <v>142</v>
      </c>
      <c r="I52" s="21" t="n">
        <v>0.29380787037037</v>
      </c>
      <c r="J52" s="22" t="n">
        <f aca="false">ROUND((TIME(6,0,0)+(F52-Summary!$B$4)-I52)*1440,1)</f>
        <v>25.1</v>
      </c>
      <c r="K52" s="23"/>
      <c r="L52" s="17"/>
    </row>
    <row r="53" customFormat="false" ht="15" hidden="false" customHeight="false" outlineLevel="0" collapsed="false">
      <c r="A53" s="17" t="n">
        <v>52</v>
      </c>
      <c r="B53" s="18" t="s">
        <v>45</v>
      </c>
      <c r="C53" s="17" t="s">
        <v>143</v>
      </c>
      <c r="D53" s="18" t="s">
        <v>15</v>
      </c>
      <c r="E53" s="19" t="n">
        <v>0.000902777777777778</v>
      </c>
      <c r="F53" s="20" t="n">
        <f aca="false">G52</f>
        <v>46295.9090625</v>
      </c>
      <c r="G53" s="20" t="n">
        <f aca="false">F53+IF(B53="Y",E53,0)</f>
        <v>46295.9099652778</v>
      </c>
      <c r="H53" s="17" t="s">
        <v>144</v>
      </c>
      <c r="I53" s="21" t="n">
        <v>0.294444444444445</v>
      </c>
      <c r="J53" s="22" t="n">
        <f aca="false">ROUND((TIME(6,0,0)+(F53-Summary!$B$4)-I53)*1440,1)</f>
        <v>25.1</v>
      </c>
      <c r="K53" s="23"/>
      <c r="L53" s="17"/>
    </row>
    <row r="54" customFormat="false" ht="15" hidden="false" customHeight="false" outlineLevel="0" collapsed="false">
      <c r="A54" s="17" t="n">
        <v>53</v>
      </c>
      <c r="B54" s="18" t="s">
        <v>45</v>
      </c>
      <c r="C54" s="17" t="s">
        <v>52</v>
      </c>
      <c r="D54" s="18" t="s">
        <v>19</v>
      </c>
      <c r="E54" s="19" t="n">
        <v>0.000115740740740741</v>
      </c>
      <c r="F54" s="20" t="n">
        <f aca="false">G53</f>
        <v>46295.9099652778</v>
      </c>
      <c r="G54" s="20" t="n">
        <f aca="false">F54+IF(B54="Y",E54,0)</f>
        <v>46295.9100810185</v>
      </c>
      <c r="H54" s="17" t="s">
        <v>145</v>
      </c>
      <c r="I54" s="21" t="n">
        <v>0.295347222222222</v>
      </c>
      <c r="J54" s="22" t="n">
        <f aca="false">ROUND((TIME(6,0,0)+(F54-Summary!$B$4)-I54)*1440,1)</f>
        <v>25.1</v>
      </c>
      <c r="K54" s="23"/>
      <c r="L54" s="17"/>
    </row>
    <row r="55" customFormat="false" ht="15" hidden="false" customHeight="false" outlineLevel="0" collapsed="false">
      <c r="A55" s="17" t="n">
        <v>54</v>
      </c>
      <c r="B55" s="18" t="s">
        <v>45</v>
      </c>
      <c r="C55" s="17" t="s">
        <v>146</v>
      </c>
      <c r="D55" s="18" t="s">
        <v>14</v>
      </c>
      <c r="E55" s="19" t="n">
        <v>0.0167013888888889</v>
      </c>
      <c r="F55" s="20" t="n">
        <f aca="false">G54</f>
        <v>46295.9100810185</v>
      </c>
      <c r="G55" s="20" t="n">
        <f aca="false">F55+IF(B55="Y",E55,0)</f>
        <v>46295.9267824074</v>
      </c>
      <c r="H55" s="17" t="s">
        <v>147</v>
      </c>
      <c r="I55" s="21" t="n">
        <v>0.295462962962963</v>
      </c>
      <c r="J55" s="22" t="n">
        <f aca="false">ROUND((TIME(6,0,0)+(F55-Summary!$B$4)-I55)*1440,1)</f>
        <v>25.1</v>
      </c>
      <c r="K55" s="23"/>
      <c r="L55" s="17" t="s">
        <v>134</v>
      </c>
    </row>
    <row r="56" customFormat="false" ht="15" hidden="false" customHeight="false" outlineLevel="0" collapsed="false">
      <c r="A56" s="17" t="n">
        <v>55</v>
      </c>
      <c r="B56" s="18" t="s">
        <v>45</v>
      </c>
      <c r="C56" s="17" t="s">
        <v>148</v>
      </c>
      <c r="D56" s="18" t="s">
        <v>18</v>
      </c>
      <c r="E56" s="19" t="n">
        <v>9.25925925925926E-005</v>
      </c>
      <c r="F56" s="20" t="n">
        <f aca="false">G55</f>
        <v>46295.9267824074</v>
      </c>
      <c r="G56" s="20" t="n">
        <f aca="false">F56+IF(B56="Y",E56,0)</f>
        <v>46295.926875</v>
      </c>
      <c r="H56" s="17" t="s">
        <v>149</v>
      </c>
      <c r="I56" s="21" t="n">
        <v>0.295497685185185</v>
      </c>
      <c r="J56" s="22" t="n">
        <f aca="false">ROUND((TIME(6,0,0)+(F56-Summary!$B$4)-I56)*1440,1)</f>
        <v>49.1</v>
      </c>
      <c r="K56" s="23"/>
      <c r="L56" s="17"/>
    </row>
    <row r="57" customFormat="false" ht="15" hidden="false" customHeight="false" outlineLevel="0" collapsed="false">
      <c r="A57" s="17" t="n">
        <v>56</v>
      </c>
      <c r="B57" s="18" t="s">
        <v>45</v>
      </c>
      <c r="C57" s="17" t="s">
        <v>150</v>
      </c>
      <c r="D57" s="18" t="s">
        <v>15</v>
      </c>
      <c r="E57" s="19" t="n">
        <v>0.00099537037037037</v>
      </c>
      <c r="F57" s="20" t="n">
        <f aca="false">G56</f>
        <v>46295.926875</v>
      </c>
      <c r="G57" s="20" t="n">
        <f aca="false">F57+IF(B57="Y",E57,0)</f>
        <v>46295.9278703704</v>
      </c>
      <c r="H57" s="17" t="s">
        <v>151</v>
      </c>
      <c r="I57" s="21" t="n">
        <v>0.295590277777778</v>
      </c>
      <c r="J57" s="22" t="n">
        <f aca="false">ROUND((TIME(6,0,0)+(F57-Summary!$B$4)-I57)*1440,1)</f>
        <v>49.1</v>
      </c>
      <c r="K57" s="23"/>
      <c r="L57" s="17"/>
    </row>
    <row r="58" customFormat="false" ht="15" hidden="false" customHeight="false" outlineLevel="0" collapsed="false">
      <c r="A58" s="17" t="n">
        <v>57</v>
      </c>
      <c r="B58" s="18" t="s">
        <v>45</v>
      </c>
      <c r="C58" s="17" t="s">
        <v>152</v>
      </c>
      <c r="D58" s="18" t="s">
        <v>15</v>
      </c>
      <c r="E58" s="19" t="n">
        <v>0.00138888888888889</v>
      </c>
      <c r="F58" s="20" t="n">
        <f aca="false">G57</f>
        <v>46295.9278703704</v>
      </c>
      <c r="G58" s="20" t="n">
        <f aca="false">F58+IF(B58="Y",E58,0)</f>
        <v>46295.9292592593</v>
      </c>
      <c r="H58" s="17" t="s">
        <v>153</v>
      </c>
      <c r="I58" s="21" t="n">
        <v>0.296585648148148</v>
      </c>
      <c r="J58" s="22" t="n">
        <f aca="false">ROUND((TIME(6,0,0)+(F58-Summary!$B$4)-I58)*1440,1)</f>
        <v>49.1</v>
      </c>
      <c r="K58" s="23"/>
      <c r="L58" s="17"/>
    </row>
    <row r="59" customFormat="false" ht="15" hidden="false" customHeight="false" outlineLevel="0" collapsed="false">
      <c r="A59" s="17" t="n">
        <v>58</v>
      </c>
      <c r="B59" s="18" t="s">
        <v>45</v>
      </c>
      <c r="C59" s="17" t="s">
        <v>154</v>
      </c>
      <c r="D59" s="18" t="s">
        <v>14</v>
      </c>
      <c r="E59" s="19" t="n">
        <v>0.00508101851851852</v>
      </c>
      <c r="F59" s="20" t="n">
        <f aca="false">G58</f>
        <v>46295.9292592593</v>
      </c>
      <c r="G59" s="20" t="n">
        <f aca="false">F59+IF(B59="Y",E59,0)</f>
        <v>46295.9343402778</v>
      </c>
      <c r="H59" s="17" t="s">
        <v>155</v>
      </c>
      <c r="I59" s="21" t="n">
        <v>0.297974537037037</v>
      </c>
      <c r="J59" s="22" t="n">
        <f aca="false">ROUND((TIME(6,0,0)+(F59-Summary!$B$4)-I59)*1440,1)</f>
        <v>49.1</v>
      </c>
      <c r="K59" s="23"/>
      <c r="L59" s="17"/>
    </row>
    <row r="60" customFormat="false" ht="15" hidden="false" customHeight="false" outlineLevel="0" collapsed="false">
      <c r="A60" s="17" t="n">
        <v>59</v>
      </c>
      <c r="B60" s="18" t="s">
        <v>45</v>
      </c>
      <c r="C60" s="17" t="s">
        <v>156</v>
      </c>
      <c r="D60" s="18" t="s">
        <v>18</v>
      </c>
      <c r="E60" s="19" t="n">
        <v>6.94444444444444E-005</v>
      </c>
      <c r="F60" s="20" t="n">
        <f aca="false">G59</f>
        <v>46295.9343402778</v>
      </c>
      <c r="G60" s="20" t="n">
        <f aca="false">F60+IF(B60="Y",E60,0)</f>
        <v>46295.9344097222</v>
      </c>
      <c r="H60" s="17" t="s">
        <v>157</v>
      </c>
      <c r="I60" s="21" t="n">
        <v>0.303055555555556</v>
      </c>
      <c r="J60" s="22" t="n">
        <f aca="false">ROUND((TIME(6,0,0)+(F60-Summary!$B$4)-I60)*1440,1)</f>
        <v>49.1</v>
      </c>
      <c r="K60" s="23"/>
      <c r="L60" s="17"/>
    </row>
    <row r="61" customFormat="false" ht="15" hidden="false" customHeight="false" outlineLevel="0" collapsed="false">
      <c r="A61" s="17" t="n">
        <v>60</v>
      </c>
      <c r="B61" s="18" t="s">
        <v>45</v>
      </c>
      <c r="C61" s="17" t="s">
        <v>158</v>
      </c>
      <c r="D61" s="18" t="s">
        <v>16</v>
      </c>
      <c r="E61" s="19" t="n">
        <v>0.000347222222222222</v>
      </c>
      <c r="F61" s="20" t="n">
        <f aca="false">G60</f>
        <v>46295.9344097222</v>
      </c>
      <c r="G61" s="20" t="n">
        <f aca="false">F61+IF(B61="Y",E61,0)</f>
        <v>46295.9347569444</v>
      </c>
      <c r="H61" s="17" t="s">
        <v>159</v>
      </c>
      <c r="I61" s="21" t="n">
        <v>0.303125</v>
      </c>
      <c r="J61" s="22" t="n">
        <f aca="false">ROUND((TIME(6,0,0)+(F61-Summary!$B$4)-I61)*1440,1)</f>
        <v>49.1</v>
      </c>
      <c r="K61" s="23"/>
      <c r="L61" s="17"/>
    </row>
    <row r="62" customFormat="false" ht="15" hidden="false" customHeight="false" outlineLevel="0" collapsed="false">
      <c r="A62" s="17" t="n">
        <v>61</v>
      </c>
      <c r="B62" s="18" t="s">
        <v>45</v>
      </c>
      <c r="C62" s="17" t="s">
        <v>160</v>
      </c>
      <c r="D62" s="18" t="s">
        <v>16</v>
      </c>
      <c r="E62" s="19" t="n">
        <v>0.000694444444444445</v>
      </c>
      <c r="F62" s="20" t="n">
        <f aca="false">G61</f>
        <v>46295.9347569444</v>
      </c>
      <c r="G62" s="20" t="n">
        <f aca="false">F62+IF(B62="Y",E62,0)</f>
        <v>46295.9354513889</v>
      </c>
      <c r="H62" s="17" t="s">
        <v>161</v>
      </c>
      <c r="I62" s="21" t="n">
        <v>0.303472222222222</v>
      </c>
      <c r="J62" s="22" t="n">
        <f aca="false">ROUND((TIME(6,0,0)+(F62-Summary!$B$4)-I62)*1440,1)</f>
        <v>49.1</v>
      </c>
      <c r="K62" s="23"/>
      <c r="L62" s="17"/>
    </row>
    <row r="63" customFormat="false" ht="15" hidden="false" customHeight="false" outlineLevel="0" collapsed="false">
      <c r="A63" s="17" t="n">
        <v>62</v>
      </c>
      <c r="B63" s="18" t="s">
        <v>45</v>
      </c>
      <c r="C63" s="17" t="s">
        <v>52</v>
      </c>
      <c r="D63" s="18" t="s">
        <v>19</v>
      </c>
      <c r="E63" s="19" t="n">
        <v>0.000115740740740741</v>
      </c>
      <c r="F63" s="20" t="n">
        <f aca="false">G62</f>
        <v>46295.9354513889</v>
      </c>
      <c r="G63" s="20" t="n">
        <f aca="false">F63+IF(B63="Y",E63,0)</f>
        <v>46295.9355671296</v>
      </c>
      <c r="H63" s="17" t="s">
        <v>162</v>
      </c>
      <c r="I63" s="21" t="n">
        <v>0.304166666666667</v>
      </c>
      <c r="J63" s="22" t="n">
        <f aca="false">ROUND((TIME(6,0,0)+(F63-Summary!$B$4)-I63)*1440,1)</f>
        <v>49.1</v>
      </c>
      <c r="K63" s="23"/>
      <c r="L63" s="17"/>
    </row>
    <row r="64" customFormat="false" ht="15" hidden="false" customHeight="false" outlineLevel="0" collapsed="false">
      <c r="A64" s="17" t="n">
        <v>63</v>
      </c>
      <c r="B64" s="18" t="s">
        <v>45</v>
      </c>
      <c r="C64" s="17" t="s">
        <v>75</v>
      </c>
      <c r="D64" s="18" t="s">
        <v>15</v>
      </c>
      <c r="E64" s="19" t="n">
        <v>0.000439814814814815</v>
      </c>
      <c r="F64" s="20" t="n">
        <f aca="false">G63</f>
        <v>46295.9355671296</v>
      </c>
      <c r="G64" s="20" t="n">
        <f aca="false">F64+IF(B64="Y",E64,0)</f>
        <v>46295.9360069444</v>
      </c>
      <c r="H64" s="17" t="s">
        <v>163</v>
      </c>
      <c r="I64" s="21" t="n">
        <v>0.304282407407407</v>
      </c>
      <c r="J64" s="22" t="n">
        <f aca="false">ROUND((TIME(6,0,0)+(F64-Summary!$B$4)-I64)*1440,1)</f>
        <v>49.1</v>
      </c>
      <c r="K64" s="23"/>
      <c r="L64" s="17"/>
    </row>
    <row r="65" customFormat="false" ht="15" hidden="false" customHeight="false" outlineLevel="0" collapsed="false">
      <c r="A65" s="17" t="n">
        <v>64</v>
      </c>
      <c r="B65" s="18" t="s">
        <v>45</v>
      </c>
      <c r="C65" s="17" t="s">
        <v>99</v>
      </c>
      <c r="D65" s="18" t="s">
        <v>17</v>
      </c>
      <c r="E65" s="19" t="n">
        <v>0.000277777777777778</v>
      </c>
      <c r="F65" s="20" t="n">
        <f aca="false">G64</f>
        <v>46295.9360069444</v>
      </c>
      <c r="G65" s="20" t="n">
        <f aca="false">F65+IF(B65="Y",E65,0)</f>
        <v>46295.9362847222</v>
      </c>
      <c r="H65" s="17" t="s">
        <v>164</v>
      </c>
      <c r="I65" s="21" t="n">
        <v>0.304722222222222</v>
      </c>
      <c r="J65" s="22" t="n">
        <f aca="false">ROUND((TIME(6,0,0)+(F65-Summary!$B$4)-I65)*1440,1)</f>
        <v>49.1</v>
      </c>
      <c r="K65" s="23"/>
      <c r="L65" s="17"/>
    </row>
    <row r="66" customFormat="false" ht="15" hidden="false" customHeight="false" outlineLevel="0" collapsed="false">
      <c r="A66" s="17" t="n">
        <v>65</v>
      </c>
      <c r="B66" s="18" t="s">
        <v>45</v>
      </c>
      <c r="C66" s="17" t="s">
        <v>165</v>
      </c>
      <c r="D66" s="18" t="s">
        <v>15</v>
      </c>
      <c r="E66" s="19" t="n">
        <v>0.00152777777777778</v>
      </c>
      <c r="F66" s="20" t="n">
        <f aca="false">G65</f>
        <v>46295.9362847222</v>
      </c>
      <c r="G66" s="20" t="n">
        <f aca="false">F66+IF(B66="Y",E66,0)</f>
        <v>46295.9378125</v>
      </c>
      <c r="H66" s="17" t="s">
        <v>166</v>
      </c>
      <c r="I66" s="21" t="n">
        <v>0.305</v>
      </c>
      <c r="J66" s="22" t="n">
        <f aca="false">ROUND((TIME(6,0,0)+(F66-Summary!$B$4)-I66)*1440,1)</f>
        <v>49.1</v>
      </c>
      <c r="K66" s="23"/>
      <c r="L66" s="17"/>
    </row>
    <row r="67" customFormat="false" ht="15" hidden="false" customHeight="false" outlineLevel="0" collapsed="false">
      <c r="A67" s="17" t="n">
        <v>66</v>
      </c>
      <c r="B67" s="18" t="s">
        <v>45</v>
      </c>
      <c r="C67" s="17" t="s">
        <v>135</v>
      </c>
      <c r="D67" s="18" t="s">
        <v>18</v>
      </c>
      <c r="E67" s="19" t="n">
        <v>6.94444444444444E-005</v>
      </c>
      <c r="F67" s="20" t="n">
        <f aca="false">G66</f>
        <v>46295.9378125</v>
      </c>
      <c r="G67" s="20" t="n">
        <f aca="false">F67+IF(B67="Y",E67,0)</f>
        <v>46295.9378819445</v>
      </c>
      <c r="H67" s="17" t="s">
        <v>167</v>
      </c>
      <c r="I67" s="21" t="n">
        <v>0.306527777777778</v>
      </c>
      <c r="J67" s="22" t="n">
        <f aca="false">ROUND((TIME(6,0,0)+(F67-Summary!$B$4)-I67)*1440,1)</f>
        <v>49.1</v>
      </c>
      <c r="K67" s="23"/>
      <c r="L67" s="17"/>
    </row>
    <row r="68" customFormat="false" ht="15" hidden="false" customHeight="false" outlineLevel="0" collapsed="false">
      <c r="A68" s="17" t="n">
        <v>67</v>
      </c>
      <c r="B68" s="18" t="s">
        <v>45</v>
      </c>
      <c r="C68" s="17" t="s">
        <v>168</v>
      </c>
      <c r="D68" s="18" t="s">
        <v>14</v>
      </c>
      <c r="E68" s="19" t="n">
        <v>0.0158680555555556</v>
      </c>
      <c r="F68" s="20" t="n">
        <f aca="false">G67</f>
        <v>46295.9378819445</v>
      </c>
      <c r="G68" s="20" t="n">
        <f aca="false">F68+IF(B68="Y",E68,0)</f>
        <v>46295.95375</v>
      </c>
      <c r="H68" s="17" t="s">
        <v>169</v>
      </c>
      <c r="I68" s="21" t="n">
        <v>0.306597222222222</v>
      </c>
      <c r="J68" s="22" t="n">
        <f aca="false">ROUND((TIME(6,0,0)+(F68-Summary!$B$4)-I68)*1440,1)</f>
        <v>49.1</v>
      </c>
      <c r="K68" s="23"/>
      <c r="L68" s="17"/>
    </row>
    <row r="69" customFormat="false" ht="15" hidden="false" customHeight="false" outlineLevel="0" collapsed="false">
      <c r="A69" s="17" t="n">
        <v>68</v>
      </c>
      <c r="B69" s="18" t="s">
        <v>45</v>
      </c>
      <c r="C69" s="17" t="s">
        <v>170</v>
      </c>
      <c r="D69" s="18" t="s">
        <v>15</v>
      </c>
      <c r="E69" s="19" t="n">
        <v>0.000543981481481481</v>
      </c>
      <c r="F69" s="20" t="n">
        <f aca="false">G68</f>
        <v>46295.95375</v>
      </c>
      <c r="G69" s="20" t="n">
        <f aca="false">F69+IF(B69="Y",E69,0)</f>
        <v>46295.9542939815</v>
      </c>
      <c r="H69" s="17" t="s">
        <v>171</v>
      </c>
      <c r="I69" s="21" t="n">
        <v>0.322465277777778</v>
      </c>
      <c r="J69" s="22" t="n">
        <f aca="false">ROUND((TIME(6,0,0)+(F69-Summary!$B$4)-I69)*1440,1)</f>
        <v>49.1</v>
      </c>
      <c r="K69" s="23"/>
      <c r="L69" s="17"/>
    </row>
    <row r="70" customFormat="false" ht="15" hidden="false" customHeight="false" outlineLevel="0" collapsed="false">
      <c r="A70" s="17" t="n">
        <v>69</v>
      </c>
      <c r="B70" s="18" t="s">
        <v>45</v>
      </c>
      <c r="C70" s="17" t="s">
        <v>52</v>
      </c>
      <c r="D70" s="18" t="s">
        <v>19</v>
      </c>
      <c r="E70" s="19" t="n">
        <v>0.000115740740740741</v>
      </c>
      <c r="F70" s="20" t="n">
        <f aca="false">G69</f>
        <v>46295.9542939815</v>
      </c>
      <c r="G70" s="20" t="n">
        <f aca="false">F70+IF(B70="Y",E70,0)</f>
        <v>46295.9544097222</v>
      </c>
      <c r="H70" s="17" t="s">
        <v>172</v>
      </c>
      <c r="I70" s="21" t="n">
        <v>0.323009259259259</v>
      </c>
      <c r="J70" s="22" t="n">
        <f aca="false">ROUND((TIME(6,0,0)+(F70-Summary!$B$4)-I70)*1440,1)</f>
        <v>49.1</v>
      </c>
      <c r="K70" s="23"/>
      <c r="L70" s="17"/>
    </row>
    <row r="71" customFormat="false" ht="15" hidden="false" customHeight="false" outlineLevel="0" collapsed="false">
      <c r="A71" s="17" t="n">
        <v>70</v>
      </c>
      <c r="B71" s="18" t="s">
        <v>45</v>
      </c>
      <c r="C71" s="17" t="s">
        <v>173</v>
      </c>
      <c r="D71" s="18" t="s">
        <v>16</v>
      </c>
      <c r="E71" s="19" t="n">
        <v>0.00099537037037037</v>
      </c>
      <c r="F71" s="20" t="n">
        <f aca="false">G70</f>
        <v>46295.9544097222</v>
      </c>
      <c r="G71" s="20" t="n">
        <f aca="false">F71+IF(B71="Y",E71,0)</f>
        <v>46295.9554050926</v>
      </c>
      <c r="H71" s="17" t="s">
        <v>174</v>
      </c>
      <c r="I71" s="21" t="n">
        <v>0.323125</v>
      </c>
      <c r="J71" s="22" t="n">
        <f aca="false">ROUND((TIME(6,0,0)+(F71-Summary!$B$4)-I71)*1440,1)</f>
        <v>49.1</v>
      </c>
      <c r="K71" s="23"/>
      <c r="L71" s="17"/>
    </row>
    <row r="72" customFormat="false" ht="15" hidden="false" customHeight="false" outlineLevel="0" collapsed="false">
      <c r="A72" s="17" t="n">
        <v>71</v>
      </c>
      <c r="B72" s="18" t="s">
        <v>45</v>
      </c>
      <c r="C72" s="17" t="s">
        <v>175</v>
      </c>
      <c r="D72" s="18" t="s">
        <v>15</v>
      </c>
      <c r="E72" s="19" t="n">
        <v>0.000347222222222222</v>
      </c>
      <c r="F72" s="20" t="n">
        <f aca="false">G71</f>
        <v>46295.9554050926</v>
      </c>
      <c r="G72" s="20" t="n">
        <f aca="false">F72+IF(B72="Y",E72,0)</f>
        <v>46295.9557523148</v>
      </c>
      <c r="H72" s="17" t="s">
        <v>176</v>
      </c>
      <c r="I72" s="21" t="n">
        <v>0.323310185185185</v>
      </c>
      <c r="J72" s="22" t="n">
        <f aca="false">ROUND((TIME(6,0,0)+(F72-Summary!$B$4)-I72)*1440,1)</f>
        <v>50.2</v>
      </c>
      <c r="K72" s="23"/>
      <c r="L72" s="17"/>
    </row>
    <row r="73" customFormat="false" ht="15" hidden="false" customHeight="false" outlineLevel="0" collapsed="false">
      <c r="A73" s="17" t="n">
        <v>72</v>
      </c>
      <c r="B73" s="18" t="s">
        <v>45</v>
      </c>
      <c r="C73" s="17" t="s">
        <v>177</v>
      </c>
      <c r="D73" s="18" t="s">
        <v>15</v>
      </c>
      <c r="E73" s="19" t="n">
        <v>0.000428240740740741</v>
      </c>
      <c r="F73" s="20" t="n">
        <f aca="false">G72</f>
        <v>46295.9557523148</v>
      </c>
      <c r="G73" s="20" t="n">
        <f aca="false">F73+IF(B73="Y",E73,0)</f>
        <v>46295.9561805556</v>
      </c>
      <c r="H73" s="17" t="s">
        <v>178</v>
      </c>
      <c r="I73" s="21" t="n">
        <v>0.323657407407407</v>
      </c>
      <c r="J73" s="22" t="n">
        <f aca="false">ROUND((TIME(6,0,0)+(F73-Summary!$B$4)-I73)*1440,1)</f>
        <v>50.2</v>
      </c>
      <c r="K73" s="23"/>
      <c r="L73" s="17"/>
    </row>
    <row r="74" customFormat="false" ht="15" hidden="false" customHeight="false" outlineLevel="0" collapsed="false">
      <c r="A74" s="17" t="n">
        <v>73</v>
      </c>
      <c r="B74" s="18" t="s">
        <v>45</v>
      </c>
      <c r="C74" s="17" t="s">
        <v>135</v>
      </c>
      <c r="D74" s="18" t="s">
        <v>18</v>
      </c>
      <c r="E74" s="19" t="n">
        <v>6.94444444444444E-005</v>
      </c>
      <c r="F74" s="20" t="n">
        <f aca="false">G73</f>
        <v>46295.9561805556</v>
      </c>
      <c r="G74" s="20" t="n">
        <f aca="false">F74+IF(B74="Y",E74,0)</f>
        <v>46295.95625</v>
      </c>
      <c r="H74" s="17" t="s">
        <v>179</v>
      </c>
      <c r="I74" s="21" t="n">
        <v>0.324085648148148</v>
      </c>
      <c r="J74" s="22" t="n">
        <f aca="false">ROUND((TIME(6,0,0)+(F74-Summary!$B$4)-I74)*1440,1)</f>
        <v>50.2</v>
      </c>
      <c r="K74" s="23"/>
      <c r="L74" s="17"/>
    </row>
    <row r="75" customFormat="false" ht="15" hidden="false" customHeight="false" outlineLevel="0" collapsed="false">
      <c r="A75" s="17" t="n">
        <v>74</v>
      </c>
      <c r="B75" s="18" t="s">
        <v>45</v>
      </c>
      <c r="C75" s="17" t="s">
        <v>180</v>
      </c>
      <c r="D75" s="18" t="s">
        <v>14</v>
      </c>
      <c r="E75" s="19" t="n">
        <v>0.00424768518518519</v>
      </c>
      <c r="F75" s="20" t="n">
        <f aca="false">G74</f>
        <v>46295.95625</v>
      </c>
      <c r="G75" s="20" t="n">
        <f aca="false">F75+IF(B75="Y",E75,0)</f>
        <v>46295.9604976852</v>
      </c>
      <c r="H75" s="17" t="s">
        <v>181</v>
      </c>
      <c r="I75" s="21" t="n">
        <v>0.328333333333333</v>
      </c>
      <c r="J75" s="22" t="n">
        <f aca="false">ROUND((TIME(6,0,0)+(F75-Summary!$B$4)-I75)*1440,1)</f>
        <v>44.2</v>
      </c>
      <c r="K75" s="23"/>
      <c r="L75" s="17"/>
    </row>
    <row r="76" customFormat="false" ht="15" hidden="false" customHeight="false" outlineLevel="0" collapsed="false">
      <c r="A76" s="17" t="n">
        <v>75</v>
      </c>
      <c r="B76" s="18" t="s">
        <v>45</v>
      </c>
      <c r="C76" s="17" t="s">
        <v>182</v>
      </c>
      <c r="D76" s="18" t="s">
        <v>15</v>
      </c>
      <c r="E76" s="19" t="n">
        <v>0.000347222222222222</v>
      </c>
      <c r="F76" s="20" t="n">
        <f aca="false">G75</f>
        <v>46295.9604976852</v>
      </c>
      <c r="G76" s="20" t="n">
        <f aca="false">F76+IF(B76="Y",E76,0)</f>
        <v>46295.9608449074</v>
      </c>
      <c r="H76" s="17" t="s">
        <v>183</v>
      </c>
      <c r="I76" s="21" t="n">
        <v>0.332581018518519</v>
      </c>
      <c r="J76" s="22" t="n">
        <f aca="false">ROUND((TIME(6,0,0)+(F76-Summary!$B$4)-I76)*1440,1)</f>
        <v>44.2</v>
      </c>
      <c r="K76" s="23"/>
      <c r="L76" s="17"/>
    </row>
    <row r="77" customFormat="false" ht="15" hidden="false" customHeight="false" outlineLevel="0" collapsed="false">
      <c r="A77" s="17" t="n">
        <v>76</v>
      </c>
      <c r="B77" s="18" t="s">
        <v>45</v>
      </c>
      <c r="C77" s="17" t="s">
        <v>184</v>
      </c>
      <c r="D77" s="18" t="s">
        <v>15</v>
      </c>
      <c r="E77" s="19" t="n">
        <v>0.000347222222222222</v>
      </c>
      <c r="F77" s="20" t="n">
        <f aca="false">G76</f>
        <v>46295.9608449074</v>
      </c>
      <c r="G77" s="20" t="n">
        <f aca="false">F77+IF(B77="Y",E77,0)</f>
        <v>46295.9611921296</v>
      </c>
      <c r="H77" s="17" t="s">
        <v>185</v>
      </c>
      <c r="I77" s="21" t="n">
        <v>0.332928240740741</v>
      </c>
      <c r="J77" s="22" t="n">
        <f aca="false">ROUND((TIME(6,0,0)+(F77-Summary!$B$4)-I77)*1440,1)</f>
        <v>44.2</v>
      </c>
      <c r="K77" s="23"/>
      <c r="L77" s="17"/>
    </row>
    <row r="78" customFormat="false" ht="15" hidden="false" customHeight="false" outlineLevel="0" collapsed="false">
      <c r="A78" s="17" t="n">
        <v>77</v>
      </c>
      <c r="B78" s="18" t="s">
        <v>45</v>
      </c>
      <c r="C78" s="17" t="s">
        <v>186</v>
      </c>
      <c r="D78" s="18" t="s">
        <v>18</v>
      </c>
      <c r="E78" s="19" t="n">
        <v>6.94444444444444E-005</v>
      </c>
      <c r="F78" s="20" t="n">
        <f aca="false">G77</f>
        <v>46295.9611921296</v>
      </c>
      <c r="G78" s="20" t="n">
        <f aca="false">F78+IF(B78="Y",E78,0)</f>
        <v>46295.9612615741</v>
      </c>
      <c r="H78" s="17" t="s">
        <v>187</v>
      </c>
      <c r="I78" s="21" t="n">
        <v>0.333275462962963</v>
      </c>
      <c r="J78" s="22" t="n">
        <f aca="false">ROUND((TIME(6,0,0)+(F78-Summary!$B$4)-I78)*1440,1)</f>
        <v>44.2</v>
      </c>
      <c r="K78" s="23"/>
      <c r="L78" s="17"/>
    </row>
    <row r="79" customFormat="false" ht="15" hidden="false" customHeight="false" outlineLevel="0" collapsed="false">
      <c r="A79" s="17" t="n">
        <v>78</v>
      </c>
      <c r="B79" s="18" t="s">
        <v>45</v>
      </c>
      <c r="C79" s="17" t="s">
        <v>52</v>
      </c>
      <c r="D79" s="18" t="s">
        <v>19</v>
      </c>
      <c r="E79" s="19" t="n">
        <v>0.000115740740740741</v>
      </c>
      <c r="F79" s="20" t="n">
        <f aca="false">G78</f>
        <v>46295.9612615741</v>
      </c>
      <c r="G79" s="20" t="n">
        <f aca="false">F79+IF(B79="Y",E79,0)</f>
        <v>46295.9613773148</v>
      </c>
      <c r="H79" s="17" t="s">
        <v>188</v>
      </c>
      <c r="I79" s="21" t="n">
        <v>0.333368055555556</v>
      </c>
      <c r="J79" s="22" t="n">
        <f aca="false">ROUND((TIME(6,0,0)+(F79-Summary!$B$4)-I79)*1440,1)</f>
        <v>44.2</v>
      </c>
      <c r="K79" s="23"/>
      <c r="L79" s="17"/>
    </row>
    <row r="80" customFormat="false" ht="15" hidden="false" customHeight="false" outlineLevel="0" collapsed="false">
      <c r="A80" s="17" t="n">
        <v>79</v>
      </c>
      <c r="B80" s="18" t="s">
        <v>45</v>
      </c>
      <c r="C80" s="17" t="s">
        <v>189</v>
      </c>
      <c r="D80" s="18" t="s">
        <v>15</v>
      </c>
      <c r="E80" s="19" t="n">
        <v>0.000694444444444445</v>
      </c>
      <c r="F80" s="20" t="n">
        <f aca="false">G79</f>
        <v>46295.9613773148</v>
      </c>
      <c r="G80" s="20" t="n">
        <f aca="false">F80+IF(B80="Y",E80,0)</f>
        <v>46295.9620717593</v>
      </c>
      <c r="H80" s="17" t="s">
        <v>190</v>
      </c>
      <c r="I80" s="21" t="n">
        <v>0.333483796296296</v>
      </c>
      <c r="J80" s="22" t="n">
        <f aca="false">ROUND((TIME(6,0,0)+(F80-Summary!$B$4)-I80)*1440,1)</f>
        <v>44.2</v>
      </c>
      <c r="K80" s="23"/>
      <c r="L80" s="17"/>
    </row>
    <row r="81" customFormat="false" ht="15" hidden="false" customHeight="false" outlineLevel="0" collapsed="false">
      <c r="A81" s="17" t="n">
        <v>80</v>
      </c>
      <c r="B81" s="18" t="s">
        <v>45</v>
      </c>
      <c r="C81" s="17" t="s">
        <v>191</v>
      </c>
      <c r="D81" s="18" t="s">
        <v>16</v>
      </c>
      <c r="E81" s="19" t="n">
        <v>0.00292824074074074</v>
      </c>
      <c r="F81" s="20" t="n">
        <f aca="false">G80</f>
        <v>46295.9620717593</v>
      </c>
      <c r="G81" s="20" t="n">
        <f aca="false">F81+IF(B81="Y",E81,0)</f>
        <v>46295.965</v>
      </c>
      <c r="H81" s="17" t="s">
        <v>192</v>
      </c>
      <c r="I81" s="21" t="n">
        <v>0.334178240740741</v>
      </c>
      <c r="J81" s="22" t="n">
        <f aca="false">ROUND((TIME(6,0,0)+(F81-Summary!$B$4)-I81)*1440,1)</f>
        <v>44.2</v>
      </c>
      <c r="K81" s="23"/>
      <c r="L81" s="17"/>
    </row>
    <row r="82" customFormat="false" ht="15" hidden="false" customHeight="false" outlineLevel="0" collapsed="false">
      <c r="A82" s="17" t="n">
        <v>81</v>
      </c>
      <c r="B82" s="18" t="s">
        <v>45</v>
      </c>
      <c r="C82" s="17" t="s">
        <v>193</v>
      </c>
      <c r="D82" s="18" t="s">
        <v>15</v>
      </c>
      <c r="E82" s="19" t="n">
        <v>0.00087962962962963</v>
      </c>
      <c r="F82" s="20" t="n">
        <f aca="false">G81</f>
        <v>46295.965</v>
      </c>
      <c r="G82" s="20" t="n">
        <f aca="false">F82+IF(B82="Y",E82,0)</f>
        <v>46295.9658796296</v>
      </c>
      <c r="H82" s="17" t="s">
        <v>194</v>
      </c>
      <c r="I82" s="21" t="n">
        <v>0.337106481481482</v>
      </c>
      <c r="J82" s="22" t="n">
        <f aca="false">ROUND((TIME(6,0,0)+(F82-Summary!$B$4)-I82)*1440,1)</f>
        <v>44.2</v>
      </c>
      <c r="K82" s="23"/>
      <c r="L82" s="17"/>
    </row>
    <row r="83" customFormat="false" ht="15" hidden="false" customHeight="false" outlineLevel="0" collapsed="false">
      <c r="A83" s="17" t="n">
        <v>82</v>
      </c>
      <c r="B83" s="18" t="s">
        <v>45</v>
      </c>
      <c r="C83" s="17" t="s">
        <v>135</v>
      </c>
      <c r="D83" s="18" t="s">
        <v>18</v>
      </c>
      <c r="E83" s="19" t="n">
        <v>6.94444444444444E-005</v>
      </c>
      <c r="F83" s="20" t="n">
        <f aca="false">G82</f>
        <v>46295.9658796296</v>
      </c>
      <c r="G83" s="20" t="n">
        <f aca="false">F83+IF(B83="Y",E83,0)</f>
        <v>46295.9659490741</v>
      </c>
      <c r="H83" s="17" t="s">
        <v>195</v>
      </c>
      <c r="I83" s="21" t="n">
        <v>0.337986111111111</v>
      </c>
      <c r="J83" s="22" t="n">
        <f aca="false">ROUND((TIME(6,0,0)+(F83-Summary!$B$4)-I83)*1440,1)</f>
        <v>44.2</v>
      </c>
      <c r="K83" s="23"/>
      <c r="L83" s="17"/>
    </row>
    <row r="84" customFormat="false" ht="15" hidden="false" customHeight="false" outlineLevel="0" collapsed="false">
      <c r="A84" s="17" t="n">
        <v>83</v>
      </c>
      <c r="B84" s="18" t="s">
        <v>45</v>
      </c>
      <c r="C84" s="17" t="s">
        <v>196</v>
      </c>
      <c r="D84" s="18" t="s">
        <v>14</v>
      </c>
      <c r="E84" s="19" t="n">
        <v>0.0192013888888889</v>
      </c>
      <c r="F84" s="20" t="n">
        <f aca="false">G83</f>
        <v>46295.9659490741</v>
      </c>
      <c r="G84" s="20" t="n">
        <f aca="false">F84+IF(B84="Y",E84,0)</f>
        <v>46295.985150463</v>
      </c>
      <c r="H84" s="17" t="s">
        <v>197</v>
      </c>
      <c r="I84" s="21" t="n">
        <v>0.3571875</v>
      </c>
      <c r="J84" s="22" t="n">
        <f aca="false">ROUND((TIME(6,0,0)+(F84-Summary!$B$4)-I84)*1440,1)</f>
        <v>16.6</v>
      </c>
      <c r="K84" s="23"/>
      <c r="L84" s="17"/>
    </row>
    <row r="85" customFormat="false" ht="15" hidden="false" customHeight="false" outlineLevel="0" collapsed="false">
      <c r="A85" s="17" t="n">
        <v>84</v>
      </c>
      <c r="B85" s="18" t="s">
        <v>45</v>
      </c>
      <c r="C85" s="17" t="s">
        <v>198</v>
      </c>
      <c r="D85" s="18" t="s">
        <v>16</v>
      </c>
      <c r="E85" s="19" t="n">
        <v>0.000358796296296296</v>
      </c>
      <c r="F85" s="20" t="n">
        <f aca="false">G84</f>
        <v>46295.985150463</v>
      </c>
      <c r="G85" s="20" t="n">
        <f aca="false">F85+IF(B85="Y",E85,0)</f>
        <v>46295.9855092593</v>
      </c>
      <c r="H85" s="17" t="s">
        <v>199</v>
      </c>
      <c r="I85" s="21" t="n">
        <v>0.357546296296296</v>
      </c>
      <c r="J85" s="22" t="n">
        <f aca="false">ROUND((TIME(6,0,0)+(F85-Summary!$B$4)-I85)*1440,1)</f>
        <v>43.8</v>
      </c>
      <c r="K85" s="23"/>
      <c r="L85" s="17"/>
    </row>
    <row r="86" customFormat="false" ht="15" hidden="false" customHeight="false" outlineLevel="0" collapsed="false">
      <c r="A86" s="17" t="n">
        <v>85</v>
      </c>
      <c r="B86" s="18" t="s">
        <v>45</v>
      </c>
      <c r="C86" s="17" t="s">
        <v>200</v>
      </c>
      <c r="D86" s="18" t="s">
        <v>16</v>
      </c>
      <c r="E86" s="19" t="n">
        <v>6.94444444444444E-005</v>
      </c>
      <c r="F86" s="20" t="n">
        <f aca="false">G85</f>
        <v>46295.9855092593</v>
      </c>
      <c r="G86" s="20" t="n">
        <f aca="false">F86+IF(B86="Y",E86,0)</f>
        <v>46295.9855787037</v>
      </c>
      <c r="H86" s="17" t="s">
        <v>201</v>
      </c>
      <c r="I86" s="21" t="n">
        <v>0.357615740740741</v>
      </c>
      <c r="J86" s="22" t="n">
        <f aca="false">ROUND((TIME(6,0,0)+(F86-Summary!$B$4)-I86)*1440,1)</f>
        <v>44.2</v>
      </c>
      <c r="K86" s="23"/>
      <c r="L86" s="17"/>
    </row>
    <row r="87" customFormat="false" ht="15" hidden="false" customHeight="false" outlineLevel="0" collapsed="false">
      <c r="A87" s="17" t="n">
        <v>86</v>
      </c>
      <c r="B87" s="18" t="s">
        <v>45</v>
      </c>
      <c r="C87" s="17" t="s">
        <v>52</v>
      </c>
      <c r="D87" s="18" t="s">
        <v>19</v>
      </c>
      <c r="E87" s="19" t="n">
        <v>0.000115740740740741</v>
      </c>
      <c r="F87" s="20" t="n">
        <f aca="false">G86</f>
        <v>46295.9855787037</v>
      </c>
      <c r="G87" s="20" t="n">
        <f aca="false">F87+IF(B87="Y",E87,0)</f>
        <v>46295.9856944445</v>
      </c>
      <c r="H87" s="17" t="s">
        <v>202</v>
      </c>
      <c r="I87" s="21" t="n">
        <v>0.357685185185185</v>
      </c>
      <c r="J87" s="22" t="n">
        <f aca="false">ROUND((TIME(6,0,0)+(F87-Summary!$B$4)-I87)*1440,1)</f>
        <v>44.2</v>
      </c>
      <c r="K87" s="23"/>
      <c r="L87" s="17"/>
    </row>
    <row r="88" customFormat="false" ht="15" hidden="false" customHeight="false" outlineLevel="0" collapsed="false">
      <c r="A88" s="17" t="n">
        <v>87</v>
      </c>
      <c r="B88" s="18" t="s">
        <v>45</v>
      </c>
      <c r="C88" s="17" t="s">
        <v>203</v>
      </c>
      <c r="D88" s="18" t="s">
        <v>14</v>
      </c>
      <c r="E88" s="19" t="n">
        <v>0.0228587962962963</v>
      </c>
      <c r="F88" s="20" t="n">
        <f aca="false">G87</f>
        <v>46295.9856944445</v>
      </c>
      <c r="G88" s="20" t="n">
        <f aca="false">F88+IF(B88="Y",E88,0)</f>
        <v>46296.0085532407</v>
      </c>
      <c r="H88" s="17" t="s">
        <v>204</v>
      </c>
      <c r="I88" s="21" t="n">
        <v>0.350856481481482</v>
      </c>
      <c r="J88" s="22" t="n">
        <f aca="false">ROUND((TIME(6,0,0)+(F88-Summary!$B$4)-I88)*1440,1)</f>
        <v>54.2</v>
      </c>
      <c r="K88" s="23"/>
      <c r="L88" s="17"/>
    </row>
    <row r="89" customFormat="false" ht="15" hidden="false" customHeight="false" outlineLevel="0" collapsed="false">
      <c r="A89" s="17" t="n">
        <v>88</v>
      </c>
      <c r="B89" s="18" t="s">
        <v>45</v>
      </c>
      <c r="C89" s="17" t="s">
        <v>158</v>
      </c>
      <c r="D89" s="18" t="s">
        <v>16</v>
      </c>
      <c r="E89" s="19" t="n">
        <v>0.000347222222222222</v>
      </c>
      <c r="F89" s="20" t="n">
        <f aca="false">G88</f>
        <v>46296.0085532407</v>
      </c>
      <c r="G89" s="20" t="n">
        <f aca="false">F89+IF(B89="Y",E89,0)</f>
        <v>46296.008900463</v>
      </c>
      <c r="H89" s="17" t="s">
        <v>205</v>
      </c>
      <c r="I89" s="21" t="n">
        <v>0.373020833333333</v>
      </c>
      <c r="J89" s="22" t="n">
        <f aca="false">ROUND((TIME(6,0,0)+(F89-Summary!$B$4)-I89)*1440,1)</f>
        <v>55.2</v>
      </c>
      <c r="K89" s="23"/>
      <c r="L89" s="17"/>
    </row>
    <row r="90" customFormat="false" ht="15" hidden="false" customHeight="false" outlineLevel="0" collapsed="false">
      <c r="A90" s="17" t="n">
        <v>89</v>
      </c>
      <c r="B90" s="18" t="s">
        <v>45</v>
      </c>
      <c r="C90" s="17" t="s">
        <v>160</v>
      </c>
      <c r="D90" s="18" t="s">
        <v>16</v>
      </c>
      <c r="E90" s="19" t="n">
        <v>0.000694444444444445</v>
      </c>
      <c r="F90" s="20" t="n">
        <f aca="false">G89</f>
        <v>46296.008900463</v>
      </c>
      <c r="G90" s="20" t="n">
        <f aca="false">F90+IF(B90="Y",E90,0)</f>
        <v>46296.0095949074</v>
      </c>
      <c r="H90" s="17" t="s">
        <v>206</v>
      </c>
      <c r="I90" s="21" t="n">
        <v>0.373368055555556</v>
      </c>
      <c r="J90" s="22" t="n">
        <f aca="false">ROUND((TIME(6,0,0)+(F90-Summary!$B$4)-I90)*1440,1)</f>
        <v>55.2</v>
      </c>
      <c r="K90" s="23"/>
      <c r="L90" s="17"/>
    </row>
    <row r="91" customFormat="false" ht="15" hidden="false" customHeight="false" outlineLevel="0" collapsed="false">
      <c r="A91" s="17" t="n">
        <v>90</v>
      </c>
      <c r="B91" s="18" t="s">
        <v>45</v>
      </c>
      <c r="C91" s="17" t="s">
        <v>135</v>
      </c>
      <c r="D91" s="18" t="s">
        <v>18</v>
      </c>
      <c r="E91" s="19" t="n">
        <v>6.94444444444444E-005</v>
      </c>
      <c r="F91" s="20" t="n">
        <f aca="false">G90</f>
        <v>46296.0095949074</v>
      </c>
      <c r="G91" s="20" t="n">
        <f aca="false">F91+IF(B91="Y",E91,0)</f>
        <v>46296.0096643519</v>
      </c>
      <c r="H91" s="17" t="s">
        <v>207</v>
      </c>
      <c r="I91" s="21" t="n">
        <v>0.3740625</v>
      </c>
      <c r="J91" s="22" t="n">
        <f aca="false">ROUND((TIME(6,0,0)+(F91-Summary!$B$4)-I91)*1440,1)</f>
        <v>55.2</v>
      </c>
      <c r="K91" s="23"/>
      <c r="L91" s="17"/>
    </row>
    <row r="92" customFormat="false" ht="15" hidden="false" customHeight="false" outlineLevel="0" collapsed="false">
      <c r="A92" s="17" t="n">
        <v>91</v>
      </c>
      <c r="B92" s="18" t="s">
        <v>45</v>
      </c>
      <c r="C92" s="17" t="s">
        <v>108</v>
      </c>
      <c r="D92" s="18" t="s">
        <v>15</v>
      </c>
      <c r="E92" s="19" t="n">
        <v>0.00068287037037037</v>
      </c>
      <c r="F92" s="20" t="n">
        <f aca="false">G91</f>
        <v>46296.0096643519</v>
      </c>
      <c r="G92" s="20" t="n">
        <f aca="false">F92+IF(B92="Y",E92,0)</f>
        <v>46296.0103472222</v>
      </c>
      <c r="H92" s="17" t="s">
        <v>208</v>
      </c>
      <c r="I92" s="21" t="n">
        <v>0.374131944444444</v>
      </c>
      <c r="J92" s="22" t="n">
        <f aca="false">ROUND((TIME(6,0,0)+(F92-Summary!$B$4)-I92)*1440,1)</f>
        <v>55.2</v>
      </c>
      <c r="K92" s="23"/>
      <c r="L92" s="17"/>
    </row>
    <row r="93" customFormat="false" ht="15" hidden="false" customHeight="false" outlineLevel="0" collapsed="false">
      <c r="A93" s="17" t="n">
        <v>92</v>
      </c>
      <c r="B93" s="18" t="s">
        <v>45</v>
      </c>
      <c r="C93" s="17" t="s">
        <v>209</v>
      </c>
      <c r="D93" s="18" t="s">
        <v>15</v>
      </c>
      <c r="E93" s="19" t="n">
        <v>0.000486111111111111</v>
      </c>
      <c r="F93" s="20" t="n">
        <f aca="false">G92</f>
        <v>46296.0103472222</v>
      </c>
      <c r="G93" s="20" t="n">
        <f aca="false">F93+IF(B93="Y",E93,0)</f>
        <v>46296.0108333333</v>
      </c>
      <c r="H93" s="17" t="s">
        <v>210</v>
      </c>
      <c r="I93" s="21" t="n">
        <v>0.374351851851852</v>
      </c>
      <c r="J93" s="22" t="n">
        <f aca="false">ROUND((TIME(6,0,0)+(F93-Summary!$B$4)-I93)*1440,1)</f>
        <v>55.8</v>
      </c>
      <c r="K93" s="23"/>
      <c r="L93" s="17"/>
    </row>
    <row r="94" customFormat="false" ht="15" hidden="false" customHeight="false" outlineLevel="0" collapsed="false">
      <c r="A94" s="17" t="n">
        <v>93</v>
      </c>
      <c r="B94" s="18" t="s">
        <v>45</v>
      </c>
      <c r="C94" s="17" t="s">
        <v>211</v>
      </c>
      <c r="D94" s="18" t="s">
        <v>15</v>
      </c>
      <c r="E94" s="19" t="n">
        <v>0.000324074074074074</v>
      </c>
      <c r="F94" s="20" t="n">
        <f aca="false">G93</f>
        <v>46296.0108333333</v>
      </c>
      <c r="G94" s="20" t="n">
        <f aca="false">F94+IF(B94="Y",E94,0)</f>
        <v>46296.0111574074</v>
      </c>
      <c r="H94" s="17" t="s">
        <v>212</v>
      </c>
      <c r="I94" s="21" t="n">
        <v>0.374837962962963</v>
      </c>
      <c r="J94" s="22" t="n">
        <f aca="false">ROUND((TIME(6,0,0)+(F94-Summary!$B$4)-I94)*1440,1)</f>
        <v>55.8</v>
      </c>
      <c r="K94" s="23"/>
      <c r="L94" s="17"/>
    </row>
    <row r="95" customFormat="false" ht="15" hidden="false" customHeight="false" outlineLevel="0" collapsed="false">
      <c r="A95" s="17" t="n">
        <v>94</v>
      </c>
      <c r="B95" s="18" t="s">
        <v>45</v>
      </c>
      <c r="C95" s="17" t="s">
        <v>52</v>
      </c>
      <c r="D95" s="18" t="s">
        <v>19</v>
      </c>
      <c r="E95" s="19" t="n">
        <v>0.000115740740740741</v>
      </c>
      <c r="F95" s="20" t="n">
        <f aca="false">G94</f>
        <v>46296.0111574074</v>
      </c>
      <c r="G95" s="20" t="n">
        <f aca="false">F95+IF(B95="Y",E95,0)</f>
        <v>46296.0112731482</v>
      </c>
      <c r="H95" s="17" t="s">
        <v>213</v>
      </c>
      <c r="I95" s="21" t="n">
        <v>0.375162037037037</v>
      </c>
      <c r="J95" s="22" t="n">
        <f aca="false">ROUND((TIME(6,0,0)+(F95-Summary!$B$4)-I95)*1440,1)</f>
        <v>55.8</v>
      </c>
      <c r="K95" s="23"/>
      <c r="L95" s="17"/>
    </row>
    <row r="96" customFormat="false" ht="15" hidden="false" customHeight="false" outlineLevel="0" collapsed="false">
      <c r="A96" s="17" t="n">
        <v>95</v>
      </c>
      <c r="B96" s="18" t="s">
        <v>45</v>
      </c>
      <c r="C96" s="17" t="s">
        <v>83</v>
      </c>
      <c r="D96" s="18" t="s">
        <v>16</v>
      </c>
      <c r="E96" s="19" t="n">
        <v>0.000347222222222222</v>
      </c>
      <c r="F96" s="20" t="n">
        <f aca="false">G95</f>
        <v>46296.0112731482</v>
      </c>
      <c r="G96" s="20" t="n">
        <f aca="false">F96+IF(B96="Y",E96,0)</f>
        <v>46296.0116203704</v>
      </c>
      <c r="H96" s="17" t="s">
        <v>214</v>
      </c>
      <c r="I96" s="21" t="n">
        <v>0.375277777777778</v>
      </c>
      <c r="J96" s="22" t="n">
        <f aca="false">ROUND((TIME(6,0,0)+(F96-Summary!$B$4)-I96)*1440,1)</f>
        <v>55.8</v>
      </c>
      <c r="K96" s="23"/>
      <c r="L96" s="17"/>
    </row>
    <row r="97" customFormat="false" ht="15" hidden="false" customHeight="false" outlineLevel="0" collapsed="false">
      <c r="A97" s="17" t="n">
        <v>96</v>
      </c>
      <c r="B97" s="18" t="s">
        <v>45</v>
      </c>
      <c r="C97" s="17" t="s">
        <v>215</v>
      </c>
      <c r="D97" s="18" t="s">
        <v>16</v>
      </c>
      <c r="E97" s="19" t="n">
        <v>0.000358796296296296</v>
      </c>
      <c r="F97" s="20" t="n">
        <f aca="false">G96</f>
        <v>46296.0116203704</v>
      </c>
      <c r="G97" s="20" t="n">
        <f aca="false">F97+IF(B97="Y",E97,0)</f>
        <v>46296.0119791667</v>
      </c>
      <c r="H97" s="17" t="s">
        <v>216</v>
      </c>
      <c r="I97" s="21" t="n">
        <v>0.375625</v>
      </c>
      <c r="J97" s="22" t="n">
        <f aca="false">ROUND((TIME(6,0,0)+(F97-Summary!$B$4)-I97)*1440,1)</f>
        <v>55.8</v>
      </c>
      <c r="K97" s="23"/>
      <c r="L97" s="17"/>
    </row>
    <row r="98" customFormat="false" ht="15" hidden="false" customHeight="false" outlineLevel="0" collapsed="false">
      <c r="A98" s="17" t="n">
        <v>97</v>
      </c>
      <c r="B98" s="18" t="s">
        <v>45</v>
      </c>
      <c r="C98" s="17" t="s">
        <v>135</v>
      </c>
      <c r="D98" s="18" t="s">
        <v>18</v>
      </c>
      <c r="E98" s="19" t="n">
        <v>6.94444444444444E-005</v>
      </c>
      <c r="F98" s="20" t="n">
        <f aca="false">G97</f>
        <v>46296.0119791667</v>
      </c>
      <c r="G98" s="20" t="n">
        <f aca="false">F98+IF(B98="Y",E98,0)</f>
        <v>46296.0120486111</v>
      </c>
      <c r="H98" s="17" t="s">
        <v>217</v>
      </c>
      <c r="I98" s="21" t="n">
        <v>0.375983796296296</v>
      </c>
      <c r="J98" s="22" t="n">
        <f aca="false">ROUND((TIME(6,0,0)+(F98-Summary!$B$4)-I98)*1440,1)</f>
        <v>55.8</v>
      </c>
      <c r="K98" s="23"/>
      <c r="L98" s="17"/>
    </row>
    <row r="99" customFormat="false" ht="15" hidden="false" customHeight="false" outlineLevel="0" collapsed="false">
      <c r="A99" s="17" t="n">
        <v>98</v>
      </c>
      <c r="B99" s="18" t="s">
        <v>45</v>
      </c>
      <c r="C99" s="17" t="s">
        <v>218</v>
      </c>
      <c r="D99" s="18" t="s">
        <v>14</v>
      </c>
      <c r="E99" s="19" t="n">
        <v>0.0173263888888889</v>
      </c>
      <c r="F99" s="20" t="n">
        <f aca="false">G98</f>
        <v>46296.0120486111</v>
      </c>
      <c r="G99" s="20" t="n">
        <f aca="false">F99+IF(B99="Y",E99,0)</f>
        <v>46296.029375</v>
      </c>
      <c r="H99" s="17" t="s">
        <v>219</v>
      </c>
      <c r="I99" s="21" t="n">
        <v>0.376053240740741</v>
      </c>
      <c r="J99" s="22" t="n">
        <f aca="false">ROUND((TIME(6,0,0)+(F99-Summary!$B$4)-I99)*1440,1)</f>
        <v>55.8</v>
      </c>
      <c r="K99" s="23"/>
      <c r="L99" s="17"/>
    </row>
    <row r="100" customFormat="false" ht="15" hidden="false" customHeight="false" outlineLevel="0" collapsed="false">
      <c r="A100" s="17" t="n">
        <v>99</v>
      </c>
      <c r="B100" s="18" t="s">
        <v>45</v>
      </c>
      <c r="C100" s="17" t="s">
        <v>220</v>
      </c>
      <c r="D100" s="18" t="s">
        <v>14</v>
      </c>
      <c r="E100" s="19" t="n">
        <v>0.00238425925925926</v>
      </c>
      <c r="F100" s="20" t="n">
        <f aca="false">G99</f>
        <v>46296.029375</v>
      </c>
      <c r="G100" s="20" t="n">
        <f aca="false">F100+IF(B100="Y",E100,0)</f>
        <v>46296.0317592593</v>
      </c>
      <c r="H100" s="17" t="s">
        <v>221</v>
      </c>
      <c r="I100" s="21" t="n">
        <v>0.39337962962963</v>
      </c>
      <c r="J100" s="22" t="n">
        <f aca="false">ROUND((TIME(6,0,0)+(F100-Summary!$B$4)-I100)*1440,1)</f>
        <v>55.8</v>
      </c>
      <c r="K100" s="23"/>
      <c r="L100" s="17"/>
    </row>
    <row r="101" customFormat="false" ht="15" hidden="false" customHeight="false" outlineLevel="0" collapsed="false">
      <c r="A101" s="17" t="n">
        <v>100</v>
      </c>
      <c r="B101" s="18" t="s">
        <v>45</v>
      </c>
      <c r="C101" s="17" t="s">
        <v>135</v>
      </c>
      <c r="D101" s="18" t="s">
        <v>18</v>
      </c>
      <c r="E101" s="19" t="n">
        <v>6.94444444444444E-005</v>
      </c>
      <c r="F101" s="20" t="n">
        <f aca="false">G100</f>
        <v>46296.0317592593</v>
      </c>
      <c r="G101" s="20" t="n">
        <f aca="false">F101+IF(B101="Y",E101,0)</f>
        <v>46296.0318287037</v>
      </c>
      <c r="H101" s="17" t="s">
        <v>222</v>
      </c>
      <c r="I101" s="21" t="n">
        <v>0.395763888888889</v>
      </c>
      <c r="J101" s="22" t="n">
        <f aca="false">ROUND((TIME(6,0,0)+(F101-Summary!$B$4)-I101)*1440,1)</f>
        <v>55.8</v>
      </c>
      <c r="K101" s="23"/>
      <c r="L101" s="17"/>
    </row>
    <row r="102" customFormat="false" ht="15" hidden="false" customHeight="false" outlineLevel="0" collapsed="false">
      <c r="A102" s="17" t="n">
        <v>101</v>
      </c>
      <c r="B102" s="18" t="s">
        <v>45</v>
      </c>
      <c r="C102" s="17" t="s">
        <v>223</v>
      </c>
      <c r="D102" s="18" t="s">
        <v>17</v>
      </c>
      <c r="E102" s="19" t="n">
        <v>0.00186342592592593</v>
      </c>
      <c r="F102" s="20" t="n">
        <f aca="false">G101</f>
        <v>46296.0318287037</v>
      </c>
      <c r="G102" s="20" t="n">
        <f aca="false">F102+IF(B102="Y",E102,0)</f>
        <v>46296.0336921296</v>
      </c>
      <c r="H102" s="17" t="s">
        <v>224</v>
      </c>
      <c r="I102" s="21" t="n">
        <v>0.395833333333333</v>
      </c>
      <c r="J102" s="22" t="n">
        <f aca="false">ROUND((TIME(6,0,0)+(F102-Summary!$B$4)-I102)*1440,1)</f>
        <v>55.8</v>
      </c>
      <c r="K102" s="23"/>
      <c r="L102" s="17"/>
    </row>
    <row r="103" customFormat="false" ht="15" hidden="false" customHeight="false" outlineLevel="0" collapsed="false">
      <c r="A103" s="17" t="n">
        <v>102</v>
      </c>
      <c r="B103" s="18" t="s">
        <v>45</v>
      </c>
      <c r="C103" s="17" t="s">
        <v>225</v>
      </c>
      <c r="D103" s="18" t="s">
        <v>17</v>
      </c>
      <c r="E103" s="19" t="n">
        <v>0.000381944444444445</v>
      </c>
      <c r="F103" s="20" t="n">
        <f aca="false">G102</f>
        <v>46296.0336921296</v>
      </c>
      <c r="G103" s="20" t="n">
        <f aca="false">F103+IF(B103="Y",E103,0)</f>
        <v>46296.0340740741</v>
      </c>
      <c r="H103" s="17" t="s">
        <v>226</v>
      </c>
      <c r="I103" s="21" t="n">
        <v>0.397696759259259</v>
      </c>
      <c r="J103" s="22" t="n">
        <f aca="false">ROUND((TIME(6,0,0)+(F103-Summary!$B$4)-I103)*1440,1)</f>
        <v>55.8</v>
      </c>
      <c r="K103" s="23"/>
      <c r="L103" s="17"/>
    </row>
    <row r="104" customFormat="false" ht="15" hidden="false" customHeight="false" outlineLevel="0" collapsed="false">
      <c r="A104" s="17" t="n">
        <v>103</v>
      </c>
      <c r="B104" s="18" t="s">
        <v>45</v>
      </c>
      <c r="C104" s="17" t="s">
        <v>52</v>
      </c>
      <c r="D104" s="18" t="s">
        <v>19</v>
      </c>
      <c r="E104" s="19" t="n">
        <v>0.000115740740740741</v>
      </c>
      <c r="F104" s="20" t="n">
        <f aca="false">G103</f>
        <v>46296.0340740741</v>
      </c>
      <c r="G104" s="20" t="n">
        <f aca="false">F104+IF(B104="Y",E104,0)</f>
        <v>46296.0341898148</v>
      </c>
      <c r="H104" s="17" t="s">
        <v>227</v>
      </c>
      <c r="I104" s="21" t="n">
        <v>0.398078703703704</v>
      </c>
      <c r="J104" s="22" t="n">
        <f aca="false">ROUND((TIME(6,0,0)+(F104-Summary!$B$4)-I104)*1440,1)</f>
        <v>55.8</v>
      </c>
      <c r="K104" s="23"/>
      <c r="L104" s="17"/>
    </row>
    <row r="105" customFormat="false" ht="15" hidden="false" customHeight="false" outlineLevel="0" collapsed="false">
      <c r="A105" s="17" t="n">
        <v>104</v>
      </c>
      <c r="B105" s="18" t="s">
        <v>45</v>
      </c>
      <c r="C105" s="17" t="s">
        <v>228</v>
      </c>
      <c r="D105" s="18" t="s">
        <v>14</v>
      </c>
      <c r="E105" s="19" t="n">
        <v>0.0104861111111111</v>
      </c>
      <c r="F105" s="20" t="n">
        <f aca="false">G104</f>
        <v>46296.0341898148</v>
      </c>
      <c r="G105" s="20" t="n">
        <f aca="false">F105+IF(B105="Y",E105,0)</f>
        <v>46296.0446759259</v>
      </c>
      <c r="H105" s="17" t="s">
        <v>229</v>
      </c>
      <c r="I105" s="21" t="n">
        <v>0.398194444444445</v>
      </c>
      <c r="J105" s="22" t="n">
        <f aca="false">ROUND((TIME(6,0,0)+(F105-Summary!$B$4)-I105)*1440,1)</f>
        <v>55.8</v>
      </c>
      <c r="K105" s="23"/>
      <c r="L105" s="17"/>
    </row>
    <row r="106" customFormat="false" ht="15" hidden="false" customHeight="false" outlineLevel="0" collapsed="false">
      <c r="A106" s="17" t="n">
        <v>105</v>
      </c>
      <c r="B106" s="18" t="s">
        <v>45</v>
      </c>
      <c r="C106" s="17" t="s">
        <v>48</v>
      </c>
      <c r="D106" s="18" t="s">
        <v>16</v>
      </c>
      <c r="E106" s="19" t="n">
        <v>0.000520833333333333</v>
      </c>
      <c r="F106" s="20" t="n">
        <f aca="false">G105</f>
        <v>46296.0446759259</v>
      </c>
      <c r="G106" s="20" t="n">
        <f aca="false">F106+IF(B106="Y",E106,0)</f>
        <v>46296.0451967593</v>
      </c>
      <c r="H106" s="17" t="s">
        <v>230</v>
      </c>
      <c r="I106" s="21" t="n">
        <v>0.408680555555556</v>
      </c>
      <c r="J106" s="22" t="n">
        <f aca="false">ROUND((TIME(6,0,0)+(F106-Summary!$B$4)-I106)*1440,1)</f>
        <v>55.8</v>
      </c>
      <c r="K106" s="23"/>
      <c r="L106" s="17"/>
    </row>
    <row r="107" customFormat="false" ht="15" hidden="false" customHeight="false" outlineLevel="0" collapsed="false">
      <c r="A107" s="17" t="n">
        <v>106</v>
      </c>
      <c r="B107" s="18" t="s">
        <v>45</v>
      </c>
      <c r="C107" s="17" t="s">
        <v>99</v>
      </c>
      <c r="D107" s="18" t="s">
        <v>17</v>
      </c>
      <c r="E107" s="19" t="n">
        <v>0.000277777777777778</v>
      </c>
      <c r="F107" s="20" t="n">
        <f aca="false">G106</f>
        <v>46296.0451967593</v>
      </c>
      <c r="G107" s="20" t="n">
        <f aca="false">F107+IF(B107="Y",E107,0)</f>
        <v>46296.045474537</v>
      </c>
      <c r="H107" s="17" t="s">
        <v>231</v>
      </c>
      <c r="I107" s="21" t="n">
        <v>0.409201388888889</v>
      </c>
      <c r="J107" s="22" t="n">
        <f aca="false">ROUND((TIME(6,0,0)+(F107-Summary!$B$4)-I107)*1440,1)</f>
        <v>55.8</v>
      </c>
      <c r="K107" s="23"/>
      <c r="L107" s="17"/>
    </row>
    <row r="108" customFormat="false" ht="15" hidden="false" customHeight="false" outlineLevel="0" collapsed="false">
      <c r="A108" s="17" t="n">
        <v>107</v>
      </c>
      <c r="B108" s="18" t="s">
        <v>45</v>
      </c>
      <c r="C108" s="17" t="s">
        <v>232</v>
      </c>
      <c r="D108" s="18" t="s">
        <v>18</v>
      </c>
      <c r="E108" s="19" t="n">
        <v>9.25925925925926E-005</v>
      </c>
      <c r="F108" s="20" t="n">
        <f aca="false">G107</f>
        <v>46296.045474537</v>
      </c>
      <c r="G108" s="20" t="n">
        <f aca="false">F108+IF(B108="Y",E108,0)</f>
        <v>46296.0455671296</v>
      </c>
      <c r="H108" s="17" t="s">
        <v>233</v>
      </c>
      <c r="I108" s="21" t="n">
        <v>0.409479166666667</v>
      </c>
      <c r="J108" s="22" t="n">
        <f aca="false">ROUND((TIME(6,0,0)+(F108-Summary!$B$4)-I108)*1440,1)</f>
        <v>55.8</v>
      </c>
      <c r="K108" s="23"/>
      <c r="L108" s="17"/>
    </row>
    <row r="109" customFormat="false" ht="15" hidden="false" customHeight="false" outlineLevel="0" collapsed="false">
      <c r="A109" s="17" t="n">
        <v>108</v>
      </c>
      <c r="B109" s="18" t="s">
        <v>45</v>
      </c>
      <c r="C109" s="17" t="s">
        <v>234</v>
      </c>
      <c r="D109" s="18" t="s">
        <v>15</v>
      </c>
      <c r="E109" s="19" t="n">
        <v>0.000555555555555556</v>
      </c>
      <c r="F109" s="20" t="n">
        <f aca="false">G108</f>
        <v>46296.0455671296</v>
      </c>
      <c r="G109" s="20" t="n">
        <f aca="false">F109+IF(B109="Y",E109,0)</f>
        <v>46296.0461226852</v>
      </c>
      <c r="H109" s="17" t="s">
        <v>235</v>
      </c>
      <c r="I109" s="21" t="n">
        <v>0.409571759259259</v>
      </c>
      <c r="J109" s="22" t="n">
        <f aca="false">ROUND((TIME(6,0,0)+(F109-Summary!$B$4)-I109)*1440,1)</f>
        <v>55.8</v>
      </c>
      <c r="K109" s="23"/>
      <c r="L109" s="17"/>
    </row>
    <row r="110" customFormat="false" ht="15" hidden="false" customHeight="false" outlineLevel="0" collapsed="false">
      <c r="A110" s="17" t="n">
        <v>109</v>
      </c>
      <c r="B110" s="18" t="s">
        <v>45</v>
      </c>
      <c r="C110" s="17" t="s">
        <v>236</v>
      </c>
      <c r="D110" s="18" t="s">
        <v>15</v>
      </c>
      <c r="E110" s="19" t="n">
        <v>0.000902777777777778</v>
      </c>
      <c r="F110" s="20" t="n">
        <f aca="false">G109</f>
        <v>46296.0461226852</v>
      </c>
      <c r="G110" s="20" t="n">
        <f aca="false">F110+IF(B110="Y",E110,0)</f>
        <v>46296.047025463</v>
      </c>
      <c r="H110" s="17" t="s">
        <v>237</v>
      </c>
      <c r="I110" s="21" t="n">
        <v>0.410127314814815</v>
      </c>
      <c r="J110" s="22" t="n">
        <f aca="false">ROUND((TIME(6,0,0)+(F110-Summary!$B$4)-I110)*1440,1)</f>
        <v>55.8</v>
      </c>
      <c r="K110" s="23"/>
      <c r="L110" s="17"/>
    </row>
    <row r="111" customFormat="false" ht="15" hidden="false" customHeight="false" outlineLevel="0" collapsed="false">
      <c r="A111" s="17" t="n">
        <v>110</v>
      </c>
      <c r="B111" s="18" t="s">
        <v>45</v>
      </c>
      <c r="C111" s="17" t="s">
        <v>238</v>
      </c>
      <c r="D111" s="18" t="s">
        <v>15</v>
      </c>
      <c r="E111" s="19" t="n">
        <v>0.00068287037037037</v>
      </c>
      <c r="F111" s="20" t="n">
        <f aca="false">G110</f>
        <v>46296.047025463</v>
      </c>
      <c r="G111" s="20" t="n">
        <f aca="false">F111+IF(B111="Y",E111,0)</f>
        <v>46296.0477083333</v>
      </c>
      <c r="H111" s="17" t="s">
        <v>239</v>
      </c>
      <c r="I111" s="21" t="n">
        <v>0.411030092592593</v>
      </c>
      <c r="J111" s="22" t="n">
        <f aca="false">ROUND((TIME(6,0,0)+(F111-Summary!$B$4)-I111)*1440,1)</f>
        <v>55.8</v>
      </c>
      <c r="K111" s="23"/>
      <c r="L111" s="17"/>
    </row>
    <row r="112" customFormat="false" ht="15" hidden="false" customHeight="false" outlineLevel="0" collapsed="false">
      <c r="A112" s="17" t="n">
        <v>111</v>
      </c>
      <c r="B112" s="18" t="s">
        <v>45</v>
      </c>
      <c r="C112" s="17" t="s">
        <v>135</v>
      </c>
      <c r="D112" s="18" t="s">
        <v>18</v>
      </c>
      <c r="E112" s="19" t="n">
        <v>6.94444444444444E-005</v>
      </c>
      <c r="F112" s="20" t="n">
        <f aca="false">G111</f>
        <v>46296.0477083333</v>
      </c>
      <c r="G112" s="20" t="n">
        <f aca="false">F112+IF(B112="Y",E112,0)</f>
        <v>46296.0477777778</v>
      </c>
      <c r="H112" s="17" t="s">
        <v>240</v>
      </c>
      <c r="I112" s="21" t="n">
        <v>0.411712962962963</v>
      </c>
      <c r="J112" s="22" t="n">
        <f aca="false">ROUND((TIME(6,0,0)+(F112-Summary!$B$4)-I112)*1440,1)</f>
        <v>55.8</v>
      </c>
      <c r="K112" s="23"/>
      <c r="L112" s="17"/>
    </row>
    <row r="113" customFormat="false" ht="15" hidden="false" customHeight="false" outlineLevel="0" collapsed="false">
      <c r="A113" s="17" t="n">
        <v>112</v>
      </c>
      <c r="B113" s="18" t="s">
        <v>45</v>
      </c>
      <c r="C113" s="17" t="s">
        <v>241</v>
      </c>
      <c r="D113" s="18" t="s">
        <v>15</v>
      </c>
      <c r="E113" s="19" t="n">
        <v>0.00200231481481482</v>
      </c>
      <c r="F113" s="20" t="n">
        <f aca="false">G112</f>
        <v>46296.0477777778</v>
      </c>
      <c r="G113" s="20" t="n">
        <f aca="false">F113+IF(B113="Y",E113,0)</f>
        <v>46296.0497800926</v>
      </c>
      <c r="H113" s="17" t="s">
        <v>242</v>
      </c>
      <c r="I113" s="21" t="n">
        <v>0.411782407407407</v>
      </c>
      <c r="J113" s="22" t="n">
        <f aca="false">ROUND((TIME(6,0,0)+(F113-Summary!$B$4)-I113)*1440,1)</f>
        <v>55.8</v>
      </c>
      <c r="K113" s="23"/>
      <c r="L113" s="17"/>
    </row>
    <row r="114" customFormat="false" ht="15" hidden="false" customHeight="false" outlineLevel="0" collapsed="false">
      <c r="A114" s="17" t="n">
        <v>113</v>
      </c>
      <c r="B114" s="18" t="s">
        <v>45</v>
      </c>
      <c r="C114" s="17" t="s">
        <v>243</v>
      </c>
      <c r="D114" s="18" t="s">
        <v>14</v>
      </c>
      <c r="E114" s="19" t="n">
        <v>0.00628472222222222</v>
      </c>
      <c r="F114" s="20" t="n">
        <f aca="false">G113</f>
        <v>46296.0497800926</v>
      </c>
      <c r="G114" s="20" t="n">
        <f aca="false">F114+IF(B114="Y",E114,0)</f>
        <v>46296.0560648148</v>
      </c>
      <c r="H114" s="17" t="s">
        <v>244</v>
      </c>
      <c r="I114" s="21" t="n">
        <v>0.413784722222222</v>
      </c>
      <c r="J114" s="22" t="n">
        <f aca="false">ROUND((TIME(6,0,0)+(F114-Summary!$B$4)-I114)*1440,1)</f>
        <v>55.8</v>
      </c>
      <c r="K114" s="23"/>
      <c r="L114" s="17"/>
    </row>
    <row r="115" customFormat="false" ht="15" hidden="false" customHeight="false" outlineLevel="0" collapsed="false">
      <c r="A115" s="17" t="n">
        <v>114</v>
      </c>
      <c r="B115" s="18" t="s">
        <v>45</v>
      </c>
      <c r="C115" s="17" t="s">
        <v>245</v>
      </c>
      <c r="D115" s="18" t="s">
        <v>19</v>
      </c>
      <c r="E115" s="19" t="n">
        <v>0.000115740740740741</v>
      </c>
      <c r="F115" s="20" t="n">
        <f aca="false">G114</f>
        <v>46296.0560648148</v>
      </c>
      <c r="G115" s="20" t="n">
        <f aca="false">F115+IF(B115="Y",E115,0)</f>
        <v>46296.0561805556</v>
      </c>
      <c r="H115" s="17" t="s">
        <v>246</v>
      </c>
      <c r="I115" s="21" t="n">
        <v>0.420069444444444</v>
      </c>
      <c r="J115" s="22" t="n">
        <f aca="false">ROUND((TIME(6,0,0)+(F115-Summary!$B$4)-I115)*1440,1)</f>
        <v>55.8</v>
      </c>
      <c r="K115" s="23"/>
      <c r="L115" s="17"/>
    </row>
    <row r="116" customFormat="false" ht="15" hidden="false" customHeight="false" outlineLevel="0" collapsed="false">
      <c r="A116" s="17" t="n">
        <v>115</v>
      </c>
      <c r="B116" s="18" t="s">
        <v>45</v>
      </c>
      <c r="C116" s="17" t="s">
        <v>247</v>
      </c>
      <c r="D116" s="18" t="s">
        <v>15</v>
      </c>
      <c r="E116" s="19" t="n">
        <v>0.000798611111111111</v>
      </c>
      <c r="F116" s="20" t="n">
        <f aca="false">G115</f>
        <v>46296.0561805556</v>
      </c>
      <c r="G116" s="20" t="n">
        <f aca="false">F116+IF(B116="Y",E116,0)</f>
        <v>46296.0569791667</v>
      </c>
      <c r="H116" s="17" t="s">
        <v>248</v>
      </c>
      <c r="I116" s="21" t="n">
        <v>0.420185185185185</v>
      </c>
      <c r="J116" s="22" t="n">
        <f aca="false">ROUND((TIME(6,0,0)+(F116-Summary!$B$4)-I116)*1440,1)</f>
        <v>55.8</v>
      </c>
      <c r="K116" s="23"/>
      <c r="L116" s="17"/>
    </row>
    <row r="117" customFormat="false" ht="15" hidden="false" customHeight="false" outlineLevel="0" collapsed="false">
      <c r="A117" s="17" t="n">
        <v>116</v>
      </c>
      <c r="B117" s="18" t="s">
        <v>45</v>
      </c>
      <c r="C117" s="17" t="s">
        <v>124</v>
      </c>
      <c r="D117" s="18" t="s">
        <v>15</v>
      </c>
      <c r="E117" s="19" t="n">
        <v>0.00103009259259259</v>
      </c>
      <c r="F117" s="20" t="n">
        <f aca="false">G116</f>
        <v>46296.0569791667</v>
      </c>
      <c r="G117" s="20" t="n">
        <f aca="false">F117+IF(B117="Y",E117,0)</f>
        <v>46296.0580092593</v>
      </c>
      <c r="H117" s="17" t="s">
        <v>249</v>
      </c>
      <c r="I117" s="21" t="n">
        <v>0.420983796296296</v>
      </c>
      <c r="J117" s="22" t="n">
        <f aca="false">ROUND((TIME(6,0,0)+(F117-Summary!$B$4)-I117)*1440,1)</f>
        <v>55.8</v>
      </c>
      <c r="K117" s="23"/>
      <c r="L117" s="17"/>
    </row>
    <row r="118" customFormat="false" ht="15" hidden="false" customHeight="false" outlineLevel="0" collapsed="false">
      <c r="A118" s="17" t="n">
        <v>117</v>
      </c>
      <c r="B118" s="18" t="s">
        <v>45</v>
      </c>
      <c r="C118" s="17" t="s">
        <v>250</v>
      </c>
      <c r="D118" s="18" t="s">
        <v>16</v>
      </c>
      <c r="E118" s="19" t="n">
        <v>0.00114583333333333</v>
      </c>
      <c r="F118" s="20" t="n">
        <f aca="false">G117</f>
        <v>46296.0580092593</v>
      </c>
      <c r="G118" s="20" t="n">
        <f aca="false">F118+IF(B118="Y",E118,0)</f>
        <v>46296.0591550926</v>
      </c>
      <c r="H118" s="17" t="s">
        <v>251</v>
      </c>
      <c r="I118" s="21" t="n">
        <v>0.42212962962963</v>
      </c>
      <c r="J118" s="22" t="n">
        <f aca="false">ROUND((TIME(6,0,0)+(F118-Summary!$B$4)-I118)*1440,1)</f>
        <v>55.7</v>
      </c>
      <c r="K118" s="23"/>
      <c r="L118" s="17"/>
    </row>
    <row r="119" customFormat="false" ht="15" hidden="false" customHeight="false" outlineLevel="0" collapsed="false">
      <c r="A119" s="17" t="n">
        <v>118</v>
      </c>
      <c r="B119" s="18" t="s">
        <v>45</v>
      </c>
      <c r="C119" s="17" t="s">
        <v>252</v>
      </c>
      <c r="D119" s="18" t="s">
        <v>15</v>
      </c>
      <c r="E119" s="19" t="n">
        <v>0.000347222222222222</v>
      </c>
      <c r="F119" s="20" t="n">
        <f aca="false">G118</f>
        <v>46296.0591550926</v>
      </c>
      <c r="G119" s="20" t="n">
        <f aca="false">F119+IF(B119="Y",E119,0)</f>
        <v>46296.0595023148</v>
      </c>
      <c r="H119" s="17" t="s">
        <v>253</v>
      </c>
      <c r="I119" s="21" t="n">
        <v>0.422476851851852</v>
      </c>
      <c r="J119" s="22" t="n">
        <f aca="false">ROUND((TIME(6,0,0)+(F119-Summary!$B$4)-I119)*1440,1)</f>
        <v>56.8</v>
      </c>
      <c r="K119" s="23"/>
      <c r="L119" s="17"/>
    </row>
    <row r="120" customFormat="false" ht="15" hidden="false" customHeight="false" outlineLevel="0" collapsed="false">
      <c r="A120" s="17" t="n">
        <v>119</v>
      </c>
      <c r="B120" s="18" t="s">
        <v>45</v>
      </c>
      <c r="C120" s="17" t="s">
        <v>135</v>
      </c>
      <c r="D120" s="18" t="s">
        <v>18</v>
      </c>
      <c r="E120" s="19" t="n">
        <v>6.94444444444444E-005</v>
      </c>
      <c r="F120" s="20" t="n">
        <f aca="false">G119</f>
        <v>46296.0595023148</v>
      </c>
      <c r="G120" s="20" t="n">
        <f aca="false">F120+IF(B120="Y",E120,0)</f>
        <v>46296.0595717593</v>
      </c>
      <c r="H120" s="17" t="s">
        <v>254</v>
      </c>
      <c r="I120" s="21" t="n">
        <v>0.422824074074074</v>
      </c>
      <c r="J120" s="22" t="n">
        <f aca="false">ROUND((TIME(6,0,0)+(F120-Summary!$B$4)-I120)*1440,1)</f>
        <v>56.8</v>
      </c>
      <c r="K120" s="23"/>
      <c r="L120" s="17"/>
    </row>
    <row r="121" customFormat="false" ht="15" hidden="false" customHeight="false" outlineLevel="0" collapsed="false">
      <c r="A121" s="17" t="n">
        <v>120</v>
      </c>
      <c r="B121" s="18" t="s">
        <v>45</v>
      </c>
      <c r="C121" s="17" t="s">
        <v>255</v>
      </c>
      <c r="D121" s="18" t="s">
        <v>14</v>
      </c>
      <c r="E121" s="19" t="n">
        <v>0.0207060185185185</v>
      </c>
      <c r="F121" s="20" t="n">
        <f aca="false">G120</f>
        <v>46296.0595717593</v>
      </c>
      <c r="G121" s="20" t="n">
        <f aca="false">F121+IF(B121="Y",E121,0)</f>
        <v>46296.0802777778</v>
      </c>
      <c r="H121" s="17" t="s">
        <v>256</v>
      </c>
      <c r="I121" s="21" t="n">
        <v>0.422893518518519</v>
      </c>
      <c r="J121" s="22" t="n">
        <f aca="false">ROUND((TIME(6,0,0)+(F121-Summary!$B$4)-I121)*1440,1)</f>
        <v>56.8</v>
      </c>
      <c r="K121" s="23"/>
      <c r="L121" s="17"/>
    </row>
    <row r="122" customFormat="false" ht="15" hidden="false" customHeight="false" outlineLevel="0" collapsed="false">
      <c r="A122" s="17" t="n">
        <v>121</v>
      </c>
      <c r="B122" s="18" t="s">
        <v>45</v>
      </c>
      <c r="C122" s="17" t="s">
        <v>257</v>
      </c>
      <c r="D122" s="18" t="s">
        <v>18</v>
      </c>
      <c r="E122" s="19" t="n">
        <v>9.25925925925926E-005</v>
      </c>
      <c r="F122" s="20" t="n">
        <f aca="false">G121</f>
        <v>46296.0802777778</v>
      </c>
      <c r="G122" s="20" t="n">
        <f aca="false">F122+IF(B122="Y",E122,0)</f>
        <v>46296.0803703704</v>
      </c>
      <c r="H122" s="17" t="s">
        <v>258</v>
      </c>
      <c r="I122" s="21" t="n">
        <v>0.443599537037037</v>
      </c>
      <c r="J122" s="22" t="n">
        <f aca="false">ROUND((TIME(6,0,0)+(F122-Summary!$B$4)-I122)*1440,1)</f>
        <v>56.8</v>
      </c>
      <c r="K122" s="23"/>
      <c r="L122" s="17"/>
    </row>
    <row r="123" customFormat="false" ht="15" hidden="false" customHeight="false" outlineLevel="0" collapsed="false">
      <c r="A123" s="17" t="n">
        <v>122</v>
      </c>
      <c r="B123" s="18" t="s">
        <v>45</v>
      </c>
      <c r="C123" s="17" t="s">
        <v>259</v>
      </c>
      <c r="D123" s="18" t="s">
        <v>14</v>
      </c>
      <c r="E123" s="19" t="n">
        <v>0.00340277777777778</v>
      </c>
      <c r="F123" s="20" t="n">
        <f aca="false">G122</f>
        <v>46296.0803703704</v>
      </c>
      <c r="G123" s="20" t="n">
        <f aca="false">F123+IF(B123="Y",E123,0)</f>
        <v>46296.0837731482</v>
      </c>
      <c r="H123" s="17" t="s">
        <v>260</v>
      </c>
      <c r="I123" s="21" t="n">
        <v>0.44369212962963</v>
      </c>
      <c r="J123" s="22" t="n">
        <f aca="false">ROUND((TIME(6,0,0)+(F123-Summary!$B$4)-I123)*1440,1)</f>
        <v>56.8</v>
      </c>
      <c r="K123" s="23"/>
      <c r="L123" s="17"/>
    </row>
    <row r="124" customFormat="false" ht="15" hidden="false" customHeight="false" outlineLevel="0" collapsed="false">
      <c r="A124" s="17" t="n">
        <v>123</v>
      </c>
      <c r="B124" s="18" t="s">
        <v>45</v>
      </c>
      <c r="C124" s="17" t="s">
        <v>261</v>
      </c>
      <c r="D124" s="18" t="s">
        <v>15</v>
      </c>
      <c r="E124" s="19" t="n">
        <v>0.00103009259259259</v>
      </c>
      <c r="F124" s="20" t="n">
        <f aca="false">G123</f>
        <v>46296.0837731482</v>
      </c>
      <c r="G124" s="20" t="n">
        <f aca="false">F124+IF(B124="Y",E124,0)</f>
        <v>46296.0848032407</v>
      </c>
      <c r="H124" s="17" t="s">
        <v>262</v>
      </c>
      <c r="I124" s="21" t="n">
        <v>0.447094907407407</v>
      </c>
      <c r="J124" s="22" t="n">
        <f aca="false">ROUND((TIME(6,0,0)+(F124-Summary!$B$4)-I124)*1440,1)</f>
        <v>56.8</v>
      </c>
      <c r="K124" s="23"/>
      <c r="L124" s="17"/>
    </row>
    <row r="125" customFormat="false" ht="15" hidden="false" customHeight="false" outlineLevel="0" collapsed="false">
      <c r="A125" s="17" t="n">
        <v>124</v>
      </c>
      <c r="B125" s="18" t="s">
        <v>45</v>
      </c>
      <c r="C125" s="17" t="s">
        <v>52</v>
      </c>
      <c r="D125" s="18" t="s">
        <v>19</v>
      </c>
      <c r="E125" s="19" t="n">
        <v>0.000115740740740741</v>
      </c>
      <c r="F125" s="20" t="n">
        <f aca="false">G124</f>
        <v>46296.0848032407</v>
      </c>
      <c r="G125" s="20" t="n">
        <f aca="false">F125+IF(B125="Y",E125,0)</f>
        <v>46296.0849189815</v>
      </c>
      <c r="H125" s="17" t="s">
        <v>263</v>
      </c>
      <c r="I125" s="21" t="n">
        <v>0.448125</v>
      </c>
      <c r="J125" s="22" t="n">
        <f aca="false">ROUND((TIME(6,0,0)+(F125-Summary!$B$4)-I125)*1440,1)</f>
        <v>56.8</v>
      </c>
      <c r="K125" s="23"/>
      <c r="L125" s="17"/>
    </row>
    <row r="126" customFormat="false" ht="15" hidden="false" customHeight="false" outlineLevel="0" collapsed="false">
      <c r="A126" s="17" t="n">
        <v>125</v>
      </c>
      <c r="B126" s="18" t="s">
        <v>45</v>
      </c>
      <c r="C126" s="17" t="s">
        <v>264</v>
      </c>
      <c r="D126" s="18" t="s">
        <v>14</v>
      </c>
      <c r="E126" s="19" t="n">
        <v>0.0021875</v>
      </c>
      <c r="F126" s="20" t="n">
        <f aca="false">G125</f>
        <v>46296.0849189815</v>
      </c>
      <c r="G126" s="20" t="n">
        <f aca="false">F126+IF(B126="Y",E126,0)</f>
        <v>46296.0871064815</v>
      </c>
      <c r="H126" s="17" t="s">
        <v>265</v>
      </c>
      <c r="I126" s="21" t="n">
        <v>0.448240740740741</v>
      </c>
      <c r="J126" s="22" t="n">
        <f aca="false">ROUND((TIME(6,0,0)+(F126-Summary!$B$4)-I126)*1440,1)</f>
        <v>56.8</v>
      </c>
      <c r="K126" s="23"/>
      <c r="L126" s="17"/>
    </row>
    <row r="127" customFormat="false" ht="15" hidden="false" customHeight="false" outlineLevel="0" collapsed="false">
      <c r="A127" s="17" t="n">
        <v>126</v>
      </c>
      <c r="B127" s="18" t="s">
        <v>45</v>
      </c>
      <c r="C127" s="17" t="s">
        <v>135</v>
      </c>
      <c r="D127" s="18" t="s">
        <v>18</v>
      </c>
      <c r="E127" s="19" t="n">
        <v>6.94444444444444E-005</v>
      </c>
      <c r="F127" s="20" t="n">
        <f aca="false">G126</f>
        <v>46296.0871064815</v>
      </c>
      <c r="G127" s="20" t="n">
        <f aca="false">F127+IF(B127="Y",E127,0)</f>
        <v>46296.0871759259</v>
      </c>
      <c r="H127" s="17" t="s">
        <v>266</v>
      </c>
      <c r="I127" s="21" t="n">
        <v>0.450428240740741</v>
      </c>
      <c r="J127" s="22" t="n">
        <f aca="false">ROUND((TIME(6,0,0)+(F127-Summary!$B$4)-I127)*1440,1)</f>
        <v>56.8</v>
      </c>
      <c r="K127" s="23"/>
      <c r="L127" s="17"/>
    </row>
    <row r="128" customFormat="false" ht="15" hidden="false" customHeight="false" outlineLevel="0" collapsed="false">
      <c r="A128" s="17" t="n">
        <v>127</v>
      </c>
      <c r="B128" s="18" t="s">
        <v>45</v>
      </c>
      <c r="C128" s="17" t="s">
        <v>267</v>
      </c>
      <c r="D128" s="18" t="s">
        <v>16</v>
      </c>
      <c r="E128" s="19" t="n">
        <v>0.00149305555555556</v>
      </c>
      <c r="F128" s="20" t="n">
        <f aca="false">G127</f>
        <v>46296.0871759259</v>
      </c>
      <c r="G128" s="20" t="n">
        <f aca="false">F128+IF(B128="Y",E128,0)</f>
        <v>46296.0886689815</v>
      </c>
      <c r="H128" s="17" t="s">
        <v>268</v>
      </c>
      <c r="I128" s="21" t="n">
        <v>0.450497685185185</v>
      </c>
      <c r="J128" s="22" t="n">
        <f aca="false">ROUND((TIME(6,0,0)+(F128-Summary!$B$4)-I128)*1440,1)</f>
        <v>56.8</v>
      </c>
      <c r="K128" s="23"/>
      <c r="L128" s="17"/>
    </row>
    <row r="129" customFormat="false" ht="15" hidden="false" customHeight="false" outlineLevel="0" collapsed="false">
      <c r="A129" s="17" t="n">
        <v>128</v>
      </c>
      <c r="B129" s="18" t="s">
        <v>45</v>
      </c>
      <c r="C129" s="17" t="s">
        <v>269</v>
      </c>
      <c r="D129" s="18" t="s">
        <v>16</v>
      </c>
      <c r="E129" s="19" t="n">
        <v>0.00149305555555556</v>
      </c>
      <c r="F129" s="20" t="n">
        <f aca="false">G128</f>
        <v>46296.0886689815</v>
      </c>
      <c r="G129" s="20" t="n">
        <f aca="false">F129+IF(B129="Y",E129,0)</f>
        <v>46296.090162037</v>
      </c>
      <c r="H129" s="17" t="s">
        <v>270</v>
      </c>
      <c r="I129" s="21" t="n">
        <v>0.451990740740741</v>
      </c>
      <c r="J129" s="22" t="n">
        <f aca="false">ROUND((TIME(6,0,0)+(F129-Summary!$B$4)-I129)*1440,1)</f>
        <v>56.8</v>
      </c>
      <c r="K129" s="23"/>
      <c r="L129" s="17"/>
    </row>
    <row r="130" customFormat="false" ht="15" hidden="false" customHeight="false" outlineLevel="0" collapsed="false">
      <c r="A130" s="17" t="n">
        <v>129</v>
      </c>
      <c r="B130" s="18" t="s">
        <v>45</v>
      </c>
      <c r="C130" s="17" t="s">
        <v>271</v>
      </c>
      <c r="D130" s="18" t="s">
        <v>15</v>
      </c>
      <c r="E130" s="19" t="n">
        <v>0.00131944444444444</v>
      </c>
      <c r="F130" s="20" t="n">
        <f aca="false">G129</f>
        <v>46296.090162037</v>
      </c>
      <c r="G130" s="20" t="n">
        <f aca="false">F130+IF(B130="Y",E130,0)</f>
        <v>46296.0914814815</v>
      </c>
      <c r="H130" s="17" t="s">
        <v>272</v>
      </c>
      <c r="I130" s="21" t="n">
        <v>0.453483796296296</v>
      </c>
      <c r="J130" s="22" t="n">
        <f aca="false">ROUND((TIME(6,0,0)+(F130-Summary!$B$4)-I130)*1440,1)</f>
        <v>56.8</v>
      </c>
      <c r="K130" s="23"/>
      <c r="L130" s="17"/>
    </row>
    <row r="131" customFormat="false" ht="15" hidden="false" customHeight="false" outlineLevel="0" collapsed="false">
      <c r="A131" s="17" t="n">
        <v>130</v>
      </c>
      <c r="B131" s="18" t="s">
        <v>45</v>
      </c>
      <c r="C131" s="17" t="s">
        <v>273</v>
      </c>
      <c r="D131" s="18" t="s">
        <v>14</v>
      </c>
      <c r="E131" s="19" t="n">
        <v>0.00454861111111111</v>
      </c>
      <c r="F131" s="20" t="n">
        <f aca="false">G130</f>
        <v>46296.0914814815</v>
      </c>
      <c r="G131" s="20" t="n">
        <f aca="false">F131+IF(B131="Y",E131,0)</f>
        <v>46296.0960300926</v>
      </c>
      <c r="H131" s="17" t="s">
        <v>274</v>
      </c>
      <c r="I131" s="21" t="n">
        <v>0.454108796296296</v>
      </c>
      <c r="J131" s="22" t="n">
        <f aca="false">ROUND((TIME(6,0,0)+(F131-Summary!$B$4)-I131)*1440,1)</f>
        <v>57.8</v>
      </c>
      <c r="K131" s="23"/>
      <c r="L131" s="17"/>
    </row>
    <row r="132" customFormat="false" ht="15" hidden="false" customHeight="false" outlineLevel="0" collapsed="false">
      <c r="A132" s="17" t="n">
        <v>131</v>
      </c>
      <c r="B132" s="18" t="s">
        <v>45</v>
      </c>
      <c r="C132" s="17" t="s">
        <v>52</v>
      </c>
      <c r="D132" s="18" t="s">
        <v>19</v>
      </c>
      <c r="E132" s="19" t="n">
        <v>0.000115740740740741</v>
      </c>
      <c r="F132" s="20" t="n">
        <f aca="false">G131</f>
        <v>46296.0960300926</v>
      </c>
      <c r="G132" s="20" t="n">
        <f aca="false">F132+IF(B132="Y",E132,0)</f>
        <v>46296.0961458333</v>
      </c>
      <c r="H132" s="17" t="s">
        <v>275</v>
      </c>
      <c r="I132" s="21" t="n">
        <v>0.458657407407407</v>
      </c>
      <c r="J132" s="22" t="n">
        <f aca="false">ROUND((TIME(6,0,0)+(F132-Summary!$B$4)-I132)*1440,1)</f>
        <v>57.8</v>
      </c>
      <c r="K132" s="23"/>
      <c r="L132" s="17"/>
    </row>
    <row r="133" customFormat="false" ht="15" hidden="false" customHeight="false" outlineLevel="0" collapsed="false">
      <c r="A133" s="17" t="n">
        <v>132</v>
      </c>
      <c r="B133" s="18" t="s">
        <v>45</v>
      </c>
      <c r="C133" s="17" t="s">
        <v>276</v>
      </c>
      <c r="D133" s="18" t="s">
        <v>15</v>
      </c>
      <c r="E133" s="19" t="n">
        <v>0.000659722222222222</v>
      </c>
      <c r="F133" s="20" t="n">
        <f aca="false">G132</f>
        <v>46296.0961458333</v>
      </c>
      <c r="G133" s="20" t="n">
        <f aca="false">F133+IF(B133="Y",E133,0)</f>
        <v>46296.0968055556</v>
      </c>
      <c r="H133" s="17" t="s">
        <v>277</v>
      </c>
      <c r="I133" s="21" t="n">
        <v>0.458773148148148</v>
      </c>
      <c r="J133" s="22" t="n">
        <f aca="false">ROUND((TIME(6,0,0)+(F133-Summary!$B$4)-I133)*1440,1)</f>
        <v>57.8</v>
      </c>
      <c r="K133" s="23"/>
      <c r="L133" s="17"/>
    </row>
    <row r="134" customFormat="false" ht="15" hidden="false" customHeight="false" outlineLevel="0" collapsed="false">
      <c r="A134" s="17" t="n">
        <v>133</v>
      </c>
      <c r="B134" s="18" t="s">
        <v>45</v>
      </c>
      <c r="C134" s="17" t="s">
        <v>278</v>
      </c>
      <c r="D134" s="18" t="s">
        <v>15</v>
      </c>
      <c r="E134" s="19" t="n">
        <v>0.000590277777777778</v>
      </c>
      <c r="F134" s="20" t="n">
        <f aca="false">G133</f>
        <v>46296.0968055556</v>
      </c>
      <c r="G134" s="20" t="n">
        <f aca="false">F134+IF(B134="Y",E134,0)</f>
        <v>46296.0973958333</v>
      </c>
      <c r="H134" s="17" t="s">
        <v>279</v>
      </c>
      <c r="I134" s="21" t="n">
        <v>0.45943287037037</v>
      </c>
      <c r="J134" s="22" t="n">
        <f aca="false">ROUND((TIME(6,0,0)+(F134-Summary!$B$4)-I134)*1440,1)</f>
        <v>57.8</v>
      </c>
      <c r="K134" s="23"/>
      <c r="L134" s="17"/>
    </row>
    <row r="135" customFormat="false" ht="15" hidden="false" customHeight="false" outlineLevel="0" collapsed="false">
      <c r="A135" s="17" t="n">
        <v>134</v>
      </c>
      <c r="B135" s="18" t="s">
        <v>45</v>
      </c>
      <c r="C135" s="17" t="s">
        <v>280</v>
      </c>
      <c r="D135" s="18" t="s">
        <v>16</v>
      </c>
      <c r="E135" s="19" t="n">
        <v>0.000439814814814815</v>
      </c>
      <c r="F135" s="20" t="n">
        <f aca="false">G134</f>
        <v>46296.0973958333</v>
      </c>
      <c r="G135" s="20" t="n">
        <f aca="false">F135+IF(B135="Y",E135,0)</f>
        <v>46296.0978356482</v>
      </c>
      <c r="H135" s="17" t="s">
        <v>281</v>
      </c>
      <c r="I135" s="21" t="n">
        <v>0.460023148148148</v>
      </c>
      <c r="J135" s="22" t="n">
        <f aca="false">ROUND((TIME(6,0,0)+(F135-Summary!$B$4)-I135)*1440,1)</f>
        <v>57.8</v>
      </c>
      <c r="K135" s="23"/>
      <c r="L135" s="17" t="s">
        <v>282</v>
      </c>
    </row>
    <row r="136" customFormat="false" ht="15" hidden="false" customHeight="false" outlineLevel="0" collapsed="false">
      <c r="A136" s="17" t="n">
        <v>135</v>
      </c>
      <c r="B136" s="18" t="s">
        <v>45</v>
      </c>
      <c r="C136" s="17" t="s">
        <v>135</v>
      </c>
      <c r="D136" s="18" t="s">
        <v>18</v>
      </c>
      <c r="E136" s="19" t="n">
        <v>6.94444444444444E-005</v>
      </c>
      <c r="F136" s="20" t="n">
        <f aca="false">G135</f>
        <v>46296.0978356482</v>
      </c>
      <c r="G136" s="20" t="n">
        <f aca="false">F136+IF(B136="Y",E136,0)</f>
        <v>46296.0979050926</v>
      </c>
      <c r="H136" s="17" t="s">
        <v>283</v>
      </c>
      <c r="I136" s="21" t="n">
        <v>0.460462962962963</v>
      </c>
      <c r="J136" s="22" t="n">
        <f aca="false">ROUND((TIME(6,0,0)+(F136-Summary!$B$4)-I136)*1440,1)</f>
        <v>57.8</v>
      </c>
      <c r="K136" s="23"/>
      <c r="L136" s="17"/>
    </row>
    <row r="137" customFormat="false" ht="15" hidden="false" customHeight="false" outlineLevel="0" collapsed="false">
      <c r="A137" s="17" t="n">
        <v>136</v>
      </c>
      <c r="B137" s="18" t="s">
        <v>45</v>
      </c>
      <c r="C137" s="17" t="s">
        <v>284</v>
      </c>
      <c r="D137" s="18" t="s">
        <v>14</v>
      </c>
      <c r="E137" s="19" t="n">
        <v>0.0197569444444445</v>
      </c>
      <c r="F137" s="20" t="n">
        <f aca="false">G136</f>
        <v>46296.0979050926</v>
      </c>
      <c r="G137" s="20" t="n">
        <f aca="false">F137+IF(B137="Y",E137,0)</f>
        <v>46296.117662037</v>
      </c>
      <c r="H137" s="17" t="s">
        <v>285</v>
      </c>
      <c r="I137" s="21" t="n">
        <v>0.460532407407407</v>
      </c>
      <c r="J137" s="22" t="n">
        <f aca="false">ROUND((TIME(6,0,0)+(F137-Summary!$B$4)-I137)*1440,1)</f>
        <v>57.8</v>
      </c>
      <c r="K137" s="23"/>
      <c r="L137" s="17"/>
    </row>
    <row r="138" customFormat="false" ht="15" hidden="false" customHeight="false" outlineLevel="0" collapsed="false">
      <c r="A138" s="17" t="n">
        <v>137</v>
      </c>
      <c r="B138" s="18" t="s">
        <v>45</v>
      </c>
      <c r="C138" s="17" t="s">
        <v>135</v>
      </c>
      <c r="D138" s="18" t="s">
        <v>18</v>
      </c>
      <c r="E138" s="19" t="n">
        <v>6.94444444444444E-005</v>
      </c>
      <c r="F138" s="20" t="n">
        <f aca="false">G137</f>
        <v>46296.117662037</v>
      </c>
      <c r="G138" s="20" t="n">
        <f aca="false">F138+IF(B138="Y",E138,0)</f>
        <v>46296.1177314815</v>
      </c>
      <c r="H138" s="17" t="s">
        <v>286</v>
      </c>
      <c r="I138" s="21" t="n">
        <v>0.480289351851852</v>
      </c>
      <c r="J138" s="22" t="n">
        <f aca="false">ROUND((TIME(6,0,0)+(F138-Summary!$B$4)-I138)*1440,1)</f>
        <v>57.8</v>
      </c>
      <c r="K138" s="23"/>
      <c r="L138" s="17"/>
    </row>
    <row r="139" customFormat="false" ht="15" hidden="false" customHeight="false" outlineLevel="0" collapsed="false">
      <c r="A139" s="17" t="n">
        <v>138</v>
      </c>
      <c r="B139" s="18" t="s">
        <v>45</v>
      </c>
      <c r="C139" s="17" t="s">
        <v>287</v>
      </c>
      <c r="D139" s="18" t="s">
        <v>16</v>
      </c>
      <c r="E139" s="19" t="n">
        <v>0.000335648148148148</v>
      </c>
      <c r="F139" s="20" t="n">
        <f aca="false">G138</f>
        <v>46296.1177314815</v>
      </c>
      <c r="G139" s="20" t="n">
        <f aca="false">F139+IF(B139="Y",E139,0)</f>
        <v>46296.1180671296</v>
      </c>
      <c r="H139" s="17" t="s">
        <v>288</v>
      </c>
      <c r="I139" s="21" t="n">
        <v>0.480358796296296</v>
      </c>
      <c r="J139" s="22" t="n">
        <f aca="false">ROUND((TIME(6,0,0)+(F139-Summary!$B$4)-I139)*1440,1)</f>
        <v>57.8</v>
      </c>
      <c r="K139" s="23"/>
      <c r="L139" s="17"/>
    </row>
    <row r="140" customFormat="false" ht="15" hidden="false" customHeight="false" outlineLevel="0" collapsed="false">
      <c r="A140" s="17" t="n">
        <v>139</v>
      </c>
      <c r="B140" s="18" t="s">
        <v>45</v>
      </c>
      <c r="C140" s="17" t="s">
        <v>289</v>
      </c>
      <c r="D140" s="18" t="s">
        <v>16</v>
      </c>
      <c r="E140" s="19" t="n">
        <v>0.000694444444444445</v>
      </c>
      <c r="F140" s="20" t="n">
        <f aca="false">G139</f>
        <v>46296.1180671296</v>
      </c>
      <c r="G140" s="20" t="n">
        <f aca="false">F140+IF(B140="Y",E140,0)</f>
        <v>46296.1187615741</v>
      </c>
      <c r="H140" s="17" t="s">
        <v>290</v>
      </c>
      <c r="I140" s="21" t="n">
        <v>0.480694444444444</v>
      </c>
      <c r="J140" s="22" t="n">
        <f aca="false">ROUND((TIME(6,0,0)+(F140-Summary!$B$4)-I140)*1440,1)</f>
        <v>57.8</v>
      </c>
      <c r="K140" s="23"/>
      <c r="L140" s="17"/>
    </row>
    <row r="141" customFormat="false" ht="15" hidden="false" customHeight="false" outlineLevel="0" collapsed="false">
      <c r="A141" s="17" t="n">
        <v>140</v>
      </c>
      <c r="B141" s="18" t="s">
        <v>45</v>
      </c>
      <c r="C141" s="17" t="s">
        <v>52</v>
      </c>
      <c r="D141" s="18" t="s">
        <v>19</v>
      </c>
      <c r="E141" s="19" t="n">
        <v>6.94444444444444E-005</v>
      </c>
      <c r="F141" s="20" t="n">
        <f aca="false">G140</f>
        <v>46296.1187615741</v>
      </c>
      <c r="G141" s="20" t="n">
        <f aca="false">F141+IF(B141="Y",E141,0)</f>
        <v>46296.1188310185</v>
      </c>
      <c r="H141" s="17" t="s">
        <v>291</v>
      </c>
      <c r="I141" s="21" t="n">
        <v>0.481388888888889</v>
      </c>
      <c r="J141" s="22" t="n">
        <f aca="false">ROUND((TIME(6,0,0)+(F141-Summary!$B$4)-I141)*1440,1)</f>
        <v>57.8</v>
      </c>
      <c r="K141" s="23"/>
      <c r="L141" s="17"/>
    </row>
    <row r="142" customFormat="false" ht="15" hidden="false" customHeight="false" outlineLevel="0" collapsed="false">
      <c r="A142" s="17" t="n">
        <v>141</v>
      </c>
      <c r="B142" s="18" t="s">
        <v>45</v>
      </c>
      <c r="C142" s="17" t="s">
        <v>292</v>
      </c>
      <c r="D142" s="18" t="s">
        <v>14</v>
      </c>
      <c r="E142" s="19" t="n">
        <v>0.0228819444444444</v>
      </c>
      <c r="F142" s="20" t="n">
        <f aca="false">G141</f>
        <v>46296.1188310185</v>
      </c>
      <c r="G142" s="20" t="n">
        <f aca="false">F142+IF(B142="Y",E142,0)</f>
        <v>46296.141712963</v>
      </c>
      <c r="H142" s="17" t="s">
        <v>293</v>
      </c>
      <c r="I142" s="21" t="n">
        <v>0.481458333333333</v>
      </c>
      <c r="J142" s="22" t="n">
        <f aca="false">ROUND((TIME(6,0,0)+(F142-Summary!$B$4)-I142)*1440,1)</f>
        <v>57.8</v>
      </c>
      <c r="K142" s="23"/>
      <c r="L142" s="17"/>
    </row>
    <row r="143" customFormat="false" ht="15" hidden="false" customHeight="false" outlineLevel="0" collapsed="false">
      <c r="A143" s="17" t="n">
        <v>142</v>
      </c>
      <c r="B143" s="18" t="s">
        <v>45</v>
      </c>
      <c r="C143" s="17" t="s">
        <v>135</v>
      </c>
      <c r="D143" s="18" t="s">
        <v>18</v>
      </c>
      <c r="E143" s="19" t="n">
        <v>6.94444444444444E-005</v>
      </c>
      <c r="F143" s="20" t="n">
        <f aca="false">G142</f>
        <v>46296.141712963</v>
      </c>
      <c r="G143" s="20" t="n">
        <f aca="false">F143+IF(B143="Y",E143,0)</f>
        <v>46296.1417824074</v>
      </c>
      <c r="H143" s="17" t="s">
        <v>294</v>
      </c>
      <c r="I143" s="21" t="n">
        <v>0.504340277777778</v>
      </c>
      <c r="J143" s="22" t="n">
        <f aca="false">ROUND((TIME(6,0,0)+(F143-Summary!$B$4)-I143)*1440,1)</f>
        <v>57.8</v>
      </c>
      <c r="K143" s="23"/>
      <c r="L143" s="17" t="s">
        <v>295</v>
      </c>
    </row>
    <row r="144" customFormat="false" ht="15" hidden="false" customHeight="false" outlineLevel="0" collapsed="false">
      <c r="A144" s="17" t="n">
        <v>143</v>
      </c>
      <c r="B144" s="18" t="s">
        <v>45</v>
      </c>
      <c r="C144" s="17" t="s">
        <v>296</v>
      </c>
      <c r="D144" s="18" t="s">
        <v>15</v>
      </c>
      <c r="E144" s="19" t="n">
        <v>0.000613425925925926</v>
      </c>
      <c r="F144" s="20" t="n">
        <f aca="false">G143</f>
        <v>46296.1417824074</v>
      </c>
      <c r="G144" s="20" t="n">
        <f aca="false">F144+IF(B144="Y",E144,0)</f>
        <v>46296.1423958333</v>
      </c>
      <c r="H144" s="17" t="s">
        <v>297</v>
      </c>
      <c r="I144" s="21" t="n">
        <v>0.504409722222222</v>
      </c>
      <c r="J144" s="22" t="n">
        <f aca="false">ROUND((TIME(6,0,0)+(F144-Summary!$B$4)-I144)*1440,1)</f>
        <v>57.8</v>
      </c>
      <c r="K144" s="23"/>
      <c r="L144" s="17" t="s">
        <v>295</v>
      </c>
    </row>
    <row r="145" customFormat="false" ht="15" hidden="false" customHeight="false" outlineLevel="0" collapsed="false">
      <c r="A145" s="17" t="n">
        <v>144</v>
      </c>
      <c r="B145" s="18" t="s">
        <v>45</v>
      </c>
      <c r="C145" s="17" t="s">
        <v>298</v>
      </c>
      <c r="D145" s="18" t="s">
        <v>17</v>
      </c>
      <c r="E145" s="19" t="n">
        <v>0.000694444444444445</v>
      </c>
      <c r="F145" s="20" t="n">
        <f aca="false">G144</f>
        <v>46296.1423958333</v>
      </c>
      <c r="G145" s="20" t="n">
        <f aca="false">F145+IF(B145="Y",E145,0)</f>
        <v>46296.1430902778</v>
      </c>
      <c r="H145" s="17" t="s">
        <v>299</v>
      </c>
      <c r="I145" s="21" t="n">
        <v>0.505023148148148</v>
      </c>
      <c r="J145" s="22" t="n">
        <f aca="false">ROUND((TIME(6,0,0)+(F145-Summary!$B$4)-I145)*1440,1)</f>
        <v>57.8</v>
      </c>
      <c r="K145" s="23"/>
      <c r="L145" s="17" t="s">
        <v>295</v>
      </c>
    </row>
    <row r="146" customFormat="false" ht="15" hidden="false" customHeight="false" outlineLevel="0" collapsed="false">
      <c r="A146" s="17" t="n">
        <v>145</v>
      </c>
      <c r="B146" s="18" t="s">
        <v>45</v>
      </c>
      <c r="C146" s="17" t="s">
        <v>300</v>
      </c>
      <c r="D146" s="18" t="s">
        <v>15</v>
      </c>
      <c r="E146" s="19" t="n">
        <v>0.00087962962962963</v>
      </c>
      <c r="F146" s="20" t="n">
        <f aca="false">G145</f>
        <v>46296.1430902778</v>
      </c>
      <c r="G146" s="20" t="n">
        <f aca="false">F146+IF(B146="Y",E146,0)</f>
        <v>46296.1439699074</v>
      </c>
      <c r="H146" s="17" t="s">
        <v>301</v>
      </c>
      <c r="I146" s="21" t="n">
        <v>0.505717592592593</v>
      </c>
      <c r="J146" s="22" t="n">
        <f aca="false">ROUND((TIME(6,0,0)+(F146-Summary!$B$4)-I146)*1440,1)</f>
        <v>57.8</v>
      </c>
      <c r="K146" s="23"/>
      <c r="L146" s="17" t="s">
        <v>295</v>
      </c>
    </row>
    <row r="147" customFormat="false" ht="15" hidden="false" customHeight="false" outlineLevel="0" collapsed="false">
      <c r="A147" s="17" t="n">
        <v>146</v>
      </c>
      <c r="B147" s="18" t="s">
        <v>45</v>
      </c>
      <c r="C147" s="17" t="s">
        <v>52</v>
      </c>
      <c r="D147" s="18" t="s">
        <v>19</v>
      </c>
      <c r="E147" s="19" t="n">
        <v>0.000115740740740741</v>
      </c>
      <c r="F147" s="20" t="n">
        <f aca="false">G146</f>
        <v>46296.1439699074</v>
      </c>
      <c r="G147" s="20" t="n">
        <f aca="false">F147+IF(B147="Y",E147,0)</f>
        <v>46296.1440856482</v>
      </c>
      <c r="H147" s="17" t="s">
        <v>302</v>
      </c>
      <c r="I147" s="21" t="n">
        <v>0.506597222222222</v>
      </c>
      <c r="J147" s="22" t="n">
        <f aca="false">ROUND((TIME(6,0,0)+(F147-Summary!$B$4)-I147)*1440,1)</f>
        <v>57.8</v>
      </c>
      <c r="K147" s="23"/>
      <c r="L147" s="17" t="s">
        <v>295</v>
      </c>
    </row>
    <row r="148" customFormat="false" ht="15" hidden="false" customHeight="false" outlineLevel="0" collapsed="false">
      <c r="A148" s="17" t="n">
        <v>147</v>
      </c>
      <c r="B148" s="18" t="s">
        <v>45</v>
      </c>
      <c r="C148" s="17" t="s">
        <v>303</v>
      </c>
      <c r="D148" s="18" t="s">
        <v>14</v>
      </c>
      <c r="E148" s="19" t="n">
        <v>0.0223958333333333</v>
      </c>
      <c r="F148" s="20" t="n">
        <f aca="false">G147</f>
        <v>46296.1440856482</v>
      </c>
      <c r="G148" s="20" t="n">
        <f aca="false">F148+IF(B148="Y",E148,0)</f>
        <v>46296.1664814815</v>
      </c>
      <c r="H148" s="17" t="s">
        <v>304</v>
      </c>
      <c r="I148" s="21" t="n">
        <v>0.506712962962963</v>
      </c>
      <c r="J148" s="22" t="n">
        <f aca="false">ROUND((TIME(6,0,0)+(F148-Summary!$B$4)-I148)*1440,1)</f>
        <v>57.8</v>
      </c>
      <c r="K148" s="23"/>
      <c r="L148" s="17" t="s">
        <v>295</v>
      </c>
    </row>
    <row r="149" customFormat="false" ht="15" hidden="false" customHeight="false" outlineLevel="0" collapsed="false">
      <c r="A149" s="17" t="n">
        <v>148</v>
      </c>
      <c r="B149" s="18" t="s">
        <v>45</v>
      </c>
      <c r="C149" s="17" t="s">
        <v>135</v>
      </c>
      <c r="D149" s="18" t="s">
        <v>18</v>
      </c>
      <c r="E149" s="19" t="n">
        <v>6.94444444444444E-005</v>
      </c>
      <c r="F149" s="20" t="n">
        <f aca="false">G148</f>
        <v>46296.1664814815</v>
      </c>
      <c r="G149" s="20" t="n">
        <f aca="false">F149+IF(B149="Y",E149,0)</f>
        <v>46296.1665509259</v>
      </c>
      <c r="H149" s="17" t="s">
        <v>305</v>
      </c>
      <c r="I149" s="21" t="n">
        <v>0.529108796296296</v>
      </c>
      <c r="J149" s="22" t="n">
        <f aca="false">ROUND((TIME(6,0,0)+(F149-Summary!$B$4)-I149)*1440,1)</f>
        <v>57.8</v>
      </c>
      <c r="K149" s="23"/>
      <c r="L149" s="17"/>
    </row>
    <row r="150" customFormat="false" ht="15" hidden="false" customHeight="false" outlineLevel="0" collapsed="false">
      <c r="A150" s="17" t="n">
        <v>149</v>
      </c>
      <c r="B150" s="18" t="s">
        <v>45</v>
      </c>
      <c r="C150" s="17" t="s">
        <v>306</v>
      </c>
      <c r="D150" s="18" t="s">
        <v>16</v>
      </c>
      <c r="E150" s="19" t="n">
        <v>0.000694444444444445</v>
      </c>
      <c r="F150" s="20" t="n">
        <f aca="false">G149</f>
        <v>46296.1665509259</v>
      </c>
      <c r="G150" s="20" t="n">
        <f aca="false">F150+IF(B150="Y",E150,0)</f>
        <v>46296.1672453704</v>
      </c>
      <c r="H150" s="17" t="s">
        <v>307</v>
      </c>
      <c r="I150" s="21" t="n">
        <v>0.529178240740741</v>
      </c>
      <c r="J150" s="22" t="n">
        <f aca="false">ROUND((TIME(6,0,0)+(F150-Summary!$B$4)-I150)*1440,1)</f>
        <v>57.8</v>
      </c>
      <c r="K150" s="23"/>
      <c r="L150" s="17"/>
    </row>
    <row r="151" customFormat="false" ht="15" hidden="false" customHeight="false" outlineLevel="0" collapsed="false">
      <c r="A151" s="17" t="n">
        <v>150</v>
      </c>
      <c r="B151" s="18" t="s">
        <v>45</v>
      </c>
      <c r="C151" s="17" t="s">
        <v>308</v>
      </c>
      <c r="D151" s="18" t="s">
        <v>16</v>
      </c>
      <c r="E151" s="19" t="n">
        <v>0.000520833333333333</v>
      </c>
      <c r="F151" s="20" t="n">
        <f aca="false">G150</f>
        <v>46296.1672453704</v>
      </c>
      <c r="G151" s="20" t="n">
        <f aca="false">F151+IF(B151="Y",E151,0)</f>
        <v>46296.1677662037</v>
      </c>
      <c r="H151" s="17" t="s">
        <v>309</v>
      </c>
      <c r="I151" s="21" t="n">
        <v>0.529872685185185</v>
      </c>
      <c r="J151" s="22" t="n">
        <f aca="false">ROUND((TIME(6,0,0)+(F151-Summary!$B$4)-I151)*1440,1)</f>
        <v>57.8</v>
      </c>
      <c r="K151" s="23"/>
      <c r="L151" s="17"/>
    </row>
    <row r="152" customFormat="false" ht="15" hidden="false" customHeight="false" outlineLevel="0" collapsed="false">
      <c r="A152" s="17" t="n">
        <v>151</v>
      </c>
      <c r="B152" s="18" t="s">
        <v>45</v>
      </c>
      <c r="C152" s="17" t="s">
        <v>135</v>
      </c>
      <c r="D152" s="18" t="s">
        <v>18</v>
      </c>
      <c r="E152" s="19" t="n">
        <v>6.94444444444444E-005</v>
      </c>
      <c r="F152" s="20" t="n">
        <f aca="false">G151</f>
        <v>46296.1677662037</v>
      </c>
      <c r="G152" s="20" t="n">
        <f aca="false">F152+IF(B152="Y",E152,0)</f>
        <v>46296.1678356482</v>
      </c>
      <c r="H152" s="17" t="s">
        <v>310</v>
      </c>
      <c r="I152" s="21" t="n">
        <v>0.530393518518519</v>
      </c>
      <c r="J152" s="22" t="n">
        <f aca="false">ROUND((TIME(6,0,0)+(F152-Summary!$B$4)-I152)*1440,1)</f>
        <v>57.8</v>
      </c>
      <c r="K152" s="23"/>
      <c r="L152" s="17"/>
    </row>
    <row r="153" customFormat="false" ht="15" hidden="false" customHeight="false" outlineLevel="0" collapsed="false">
      <c r="A153" s="17" t="n">
        <v>152</v>
      </c>
      <c r="B153" s="18" t="s">
        <v>45</v>
      </c>
      <c r="C153" s="17" t="s">
        <v>311</v>
      </c>
      <c r="D153" s="18" t="s">
        <v>14</v>
      </c>
      <c r="E153" s="19" t="n">
        <v>0.0208101851851852</v>
      </c>
      <c r="F153" s="20" t="n">
        <f aca="false">G152</f>
        <v>46296.1678356482</v>
      </c>
      <c r="G153" s="20" t="n">
        <f aca="false">F153+IF(B153="Y",E153,0)</f>
        <v>46296.1886458333</v>
      </c>
      <c r="H153" s="17" t="s">
        <v>312</v>
      </c>
      <c r="I153" s="21" t="n">
        <v>0.53056712962963</v>
      </c>
      <c r="J153" s="22" t="n">
        <f aca="false">ROUND((TIME(6,0,0)+(F153-Summary!$B$4)-I153)*1440,1)</f>
        <v>57.7</v>
      </c>
      <c r="K153" s="23"/>
      <c r="L153" s="17"/>
    </row>
    <row r="154" customFormat="false" ht="15" hidden="false" customHeight="false" outlineLevel="0" collapsed="false">
      <c r="A154" s="17" t="n">
        <v>153</v>
      </c>
      <c r="B154" s="18" t="s">
        <v>45</v>
      </c>
      <c r="C154" s="17" t="s">
        <v>52</v>
      </c>
      <c r="D154" s="18" t="s">
        <v>19</v>
      </c>
      <c r="E154" s="19" t="n">
        <v>0.000115740740740741</v>
      </c>
      <c r="F154" s="20" t="n">
        <f aca="false">G153</f>
        <v>46296.1886458333</v>
      </c>
      <c r="G154" s="20" t="n">
        <f aca="false">F154+IF(B154="Y",E154,0)</f>
        <v>46296.1887615741</v>
      </c>
      <c r="H154" s="17" t="s">
        <v>313</v>
      </c>
      <c r="I154" s="21" t="n">
        <v>0.551377314814815</v>
      </c>
      <c r="J154" s="22" t="n">
        <f aca="false">ROUND((TIME(6,0,0)+(F154-Summary!$B$4)-I154)*1440,1)</f>
        <v>57.7</v>
      </c>
      <c r="K154" s="23"/>
      <c r="L154" s="17"/>
    </row>
    <row r="155" customFormat="false" ht="15" hidden="false" customHeight="false" outlineLevel="0" collapsed="false">
      <c r="A155" s="17" t="n">
        <v>154</v>
      </c>
      <c r="B155" s="18" t="s">
        <v>45</v>
      </c>
      <c r="C155" s="17" t="s">
        <v>314</v>
      </c>
      <c r="D155" s="18" t="s">
        <v>14</v>
      </c>
      <c r="E155" s="19" t="n">
        <v>0.0192013888888889</v>
      </c>
      <c r="F155" s="20" t="n">
        <f aca="false">G154</f>
        <v>46296.1887615741</v>
      </c>
      <c r="G155" s="20" t="n">
        <f aca="false">F155+IF(B155="Y",E155,0)</f>
        <v>46296.207962963</v>
      </c>
      <c r="H155" s="17" t="s">
        <v>315</v>
      </c>
      <c r="I155" s="21" t="n">
        <v>0.551493055555556</v>
      </c>
      <c r="J155" s="22" t="n">
        <f aca="false">ROUND((TIME(6,0,0)+(F155-Summary!$B$4)-I155)*1440,1)</f>
        <v>57.7</v>
      </c>
      <c r="K155" s="23"/>
      <c r="L155" s="17"/>
    </row>
    <row r="156" customFormat="false" ht="15" hidden="false" customHeight="false" outlineLevel="0" collapsed="false">
      <c r="A156" s="17" t="n">
        <v>155</v>
      </c>
      <c r="B156" s="18" t="s">
        <v>45</v>
      </c>
      <c r="C156" s="17" t="s">
        <v>316</v>
      </c>
      <c r="D156" s="18" t="s">
        <v>18</v>
      </c>
      <c r="E156" s="19" t="n">
        <v>6.94444444444444E-005</v>
      </c>
      <c r="F156" s="20" t="n">
        <f aca="false">G155</f>
        <v>46296.207962963</v>
      </c>
      <c r="G156" s="20" t="n">
        <f aca="false">F156+IF(B156="Y",E156,0)</f>
        <v>46296.2080324074</v>
      </c>
      <c r="H156" s="17" t="s">
        <v>317</v>
      </c>
      <c r="I156" s="21" t="n">
        <v>0.570694444444444</v>
      </c>
      <c r="J156" s="22" t="n">
        <f aca="false">ROUND((TIME(6,0,0)+(F156-Summary!$B$4)-I156)*1440,1)</f>
        <v>57.7</v>
      </c>
      <c r="K156" s="23"/>
      <c r="L156" s="17"/>
    </row>
    <row r="157" customFormat="false" ht="15" hidden="false" customHeight="false" outlineLevel="0" collapsed="false">
      <c r="A157" s="17" t="n">
        <v>156</v>
      </c>
      <c r="B157" s="18" t="s">
        <v>45</v>
      </c>
      <c r="C157" s="17" t="s">
        <v>318</v>
      </c>
      <c r="D157" s="18" t="s">
        <v>14</v>
      </c>
      <c r="E157" s="19" t="n">
        <v>0.00260416666666667</v>
      </c>
      <c r="F157" s="20" t="n">
        <f aca="false">G156</f>
        <v>46296.2080324074</v>
      </c>
      <c r="G157" s="20" t="n">
        <f aca="false">F157+IF(B157="Y",E157,0)</f>
        <v>46296.2106365741</v>
      </c>
      <c r="H157" s="17" t="s">
        <v>319</v>
      </c>
      <c r="I157" s="21" t="n">
        <v>0.570763888888889</v>
      </c>
      <c r="J157" s="22" t="n">
        <f aca="false">ROUND((TIME(6,0,0)+(F157-Summary!$B$4)-I157)*1440,1)</f>
        <v>57.7</v>
      </c>
      <c r="K157" s="23"/>
      <c r="L157" s="17"/>
    </row>
    <row r="158" customFormat="false" ht="15" hidden="false" customHeight="false" outlineLevel="0" collapsed="false">
      <c r="A158" s="17" t="n">
        <v>157</v>
      </c>
      <c r="B158" s="18" t="s">
        <v>45</v>
      </c>
      <c r="C158" s="17" t="s">
        <v>320</v>
      </c>
      <c r="D158" s="18" t="s">
        <v>15</v>
      </c>
      <c r="E158" s="19" t="n">
        <v>0.0019212962962963</v>
      </c>
      <c r="F158" s="20" t="n">
        <f aca="false">G157</f>
        <v>46296.2106365741</v>
      </c>
      <c r="G158" s="20" t="n">
        <f aca="false">F158+IF(B158="Y",E158,0)</f>
        <v>46296.2125578704</v>
      </c>
      <c r="H158" s="17" t="s">
        <v>321</v>
      </c>
      <c r="I158" s="21" t="n">
        <v>0.573368055555556</v>
      </c>
      <c r="J158" s="22" t="n">
        <f aca="false">ROUND((TIME(6,0,0)+(F158-Summary!$B$4)-I158)*1440,1)</f>
        <v>57.7</v>
      </c>
      <c r="K158" s="23"/>
      <c r="L158" s="17"/>
    </row>
    <row r="159" customFormat="false" ht="15" hidden="false" customHeight="false" outlineLevel="0" collapsed="false">
      <c r="A159" s="17" t="n">
        <v>158</v>
      </c>
      <c r="B159" s="18" t="s">
        <v>45</v>
      </c>
      <c r="C159" s="17" t="s">
        <v>322</v>
      </c>
      <c r="D159" s="18" t="s">
        <v>14</v>
      </c>
      <c r="E159" s="19" t="n">
        <v>0.00590277777777778</v>
      </c>
      <c r="F159" s="20" t="n">
        <f aca="false">G158</f>
        <v>46296.2125578704</v>
      </c>
      <c r="G159" s="20" t="n">
        <f aca="false">F159+IF(B159="Y",E159,0)</f>
        <v>46296.2184606481</v>
      </c>
      <c r="H159" s="17" t="s">
        <v>323</v>
      </c>
      <c r="I159" s="21" t="n">
        <v>0.575289351851852</v>
      </c>
      <c r="J159" s="22" t="n">
        <f aca="false">ROUND((TIME(6,0,0)+(F159-Summary!$B$4)-I159)*1440,1)</f>
        <v>57.7</v>
      </c>
      <c r="K159" s="23"/>
      <c r="L159" s="17"/>
    </row>
    <row r="160" customFormat="false" ht="15" hidden="false" customHeight="false" outlineLevel="0" collapsed="false">
      <c r="A160" s="17" t="n">
        <v>159</v>
      </c>
      <c r="B160" s="18" t="s">
        <v>45</v>
      </c>
      <c r="C160" s="17" t="s">
        <v>324</v>
      </c>
      <c r="D160" s="18" t="s">
        <v>18</v>
      </c>
      <c r="E160" s="19" t="n">
        <v>6.94444444444444E-005</v>
      </c>
      <c r="F160" s="20" t="n">
        <f aca="false">G159</f>
        <v>46296.2184606481</v>
      </c>
      <c r="G160" s="20" t="n">
        <f aca="false">F160+IF(B160="Y",E160,0)</f>
        <v>46296.2185300926</v>
      </c>
      <c r="H160" s="17" t="s">
        <v>325</v>
      </c>
      <c r="I160" s="21" t="n">
        <v>0.58119212962963</v>
      </c>
      <c r="J160" s="22" t="n">
        <f aca="false">ROUND((TIME(6,0,0)+(F160-Summary!$B$4)-I160)*1440,1)</f>
        <v>57.7</v>
      </c>
      <c r="K160" s="23"/>
      <c r="L160" s="17"/>
    </row>
    <row r="161" customFormat="false" ht="15" hidden="false" customHeight="false" outlineLevel="0" collapsed="false">
      <c r="A161" s="17" t="n">
        <v>160</v>
      </c>
      <c r="B161" s="18" t="s">
        <v>45</v>
      </c>
      <c r="C161" s="17" t="s">
        <v>326</v>
      </c>
      <c r="D161" s="18" t="s">
        <v>14</v>
      </c>
      <c r="E161" s="19" t="n">
        <v>0.00216435185185185</v>
      </c>
      <c r="F161" s="20" t="n">
        <f aca="false">G160</f>
        <v>46296.2185300926</v>
      </c>
      <c r="G161" s="20" t="n">
        <f aca="false">F161+IF(B161="Y",E161,0)</f>
        <v>46296.2206944445</v>
      </c>
      <c r="H161" s="17" t="s">
        <v>327</v>
      </c>
      <c r="I161" s="21" t="n">
        <v>0.581261574074074</v>
      </c>
      <c r="J161" s="22" t="n">
        <f aca="false">ROUND((TIME(6,0,0)+(F161-Summary!$B$4)-I161)*1440,1)</f>
        <v>57.7</v>
      </c>
      <c r="K161" s="23"/>
      <c r="L161" s="17"/>
    </row>
    <row r="162" customFormat="false" ht="15" hidden="false" customHeight="false" outlineLevel="0" collapsed="false">
      <c r="A162" s="17" t="n">
        <v>161</v>
      </c>
      <c r="B162" s="18" t="s">
        <v>45</v>
      </c>
      <c r="C162" s="17" t="s">
        <v>135</v>
      </c>
      <c r="D162" s="18" t="s">
        <v>18</v>
      </c>
      <c r="E162" s="19" t="n">
        <v>6.94444444444444E-005</v>
      </c>
      <c r="F162" s="20" t="n">
        <f aca="false">G161</f>
        <v>46296.2206944445</v>
      </c>
      <c r="G162" s="20" t="n">
        <f aca="false">F162+IF(B162="Y",E162,0)</f>
        <v>46296.2207638889</v>
      </c>
      <c r="H162" s="17" t="s">
        <v>328</v>
      </c>
      <c r="I162" s="21" t="n">
        <v>0.583425925925926</v>
      </c>
      <c r="J162" s="22" t="n">
        <f aca="false">ROUND((TIME(6,0,0)+(F162-Summary!$B$4)-I162)*1440,1)</f>
        <v>57.7</v>
      </c>
      <c r="K162" s="23"/>
      <c r="L162" s="17"/>
    </row>
    <row r="163" customFormat="false" ht="15" hidden="false" customHeight="false" outlineLevel="0" collapsed="false">
      <c r="A163" s="17" t="n">
        <v>162</v>
      </c>
      <c r="B163" s="18" t="s">
        <v>45</v>
      </c>
      <c r="C163" s="17" t="s">
        <v>52</v>
      </c>
      <c r="D163" s="18" t="s">
        <v>19</v>
      </c>
      <c r="E163" s="19" t="n">
        <v>0.000115740740740741</v>
      </c>
      <c r="F163" s="20" t="n">
        <f aca="false">G162</f>
        <v>46296.2207638889</v>
      </c>
      <c r="G163" s="20" t="n">
        <f aca="false">F163+IF(B163="Y",E163,0)</f>
        <v>46296.2208796296</v>
      </c>
      <c r="H163" s="17" t="s">
        <v>329</v>
      </c>
      <c r="I163" s="21" t="n">
        <v>0.58349537037037</v>
      </c>
      <c r="J163" s="22" t="n">
        <f aca="false">ROUND((TIME(6,0,0)+(F163-Summary!$B$4)-I163)*1440,1)</f>
        <v>57.7</v>
      </c>
      <c r="K163" s="23"/>
      <c r="L163" s="17"/>
    </row>
    <row r="164" customFormat="false" ht="15" hidden="false" customHeight="false" outlineLevel="0" collapsed="false">
      <c r="A164" s="17" t="n">
        <v>163</v>
      </c>
      <c r="B164" s="18" t="s">
        <v>45</v>
      </c>
      <c r="C164" s="17" t="s">
        <v>330</v>
      </c>
      <c r="D164" s="18" t="s">
        <v>14</v>
      </c>
      <c r="E164" s="19" t="n">
        <v>0.004375</v>
      </c>
      <c r="F164" s="20" t="n">
        <f aca="false">G163</f>
        <v>46296.2208796296</v>
      </c>
      <c r="G164" s="20" t="n">
        <f aca="false">F164+IF(B164="Y",E164,0)</f>
        <v>46296.2252546296</v>
      </c>
      <c r="H164" s="17" t="s">
        <v>331</v>
      </c>
      <c r="I164" s="21" t="n">
        <v>0.583611111111111</v>
      </c>
      <c r="J164" s="22" t="n">
        <f aca="false">ROUND((TIME(6,0,0)+(F164-Summary!$B$4)-I164)*1440,1)</f>
        <v>57.7</v>
      </c>
      <c r="K164" s="23"/>
      <c r="L164" s="17"/>
    </row>
    <row r="165" customFormat="false" ht="15" hidden="false" customHeight="false" outlineLevel="0" collapsed="false">
      <c r="A165" s="17" t="n">
        <v>164</v>
      </c>
      <c r="B165" s="18" t="s">
        <v>45</v>
      </c>
      <c r="C165" s="17" t="s">
        <v>135</v>
      </c>
      <c r="D165" s="18" t="s">
        <v>18</v>
      </c>
      <c r="E165" s="19" t="n">
        <v>6.94444444444444E-005</v>
      </c>
      <c r="F165" s="20" t="n">
        <f aca="false">G164</f>
        <v>46296.2252546296</v>
      </c>
      <c r="G165" s="20" t="n">
        <f aca="false">F165+IF(B165="Y",E165,0)</f>
        <v>46296.2253240741</v>
      </c>
      <c r="H165" s="17" t="s">
        <v>332</v>
      </c>
      <c r="I165" s="21" t="n">
        <v>0.587986111111111</v>
      </c>
      <c r="J165" s="22" t="n">
        <f aca="false">ROUND((TIME(6,0,0)+(F165-Summary!$B$4)-I165)*1440,1)</f>
        <v>57.7</v>
      </c>
      <c r="K165" s="23"/>
      <c r="L165" s="17"/>
    </row>
    <row r="166" customFormat="false" ht="15" hidden="false" customHeight="false" outlineLevel="0" collapsed="false">
      <c r="A166" s="17" t="n">
        <v>165</v>
      </c>
      <c r="B166" s="18" t="s">
        <v>45</v>
      </c>
      <c r="C166" s="17" t="s">
        <v>333</v>
      </c>
      <c r="D166" s="18" t="s">
        <v>15</v>
      </c>
      <c r="E166" s="19" t="n">
        <v>0.000763888888888889</v>
      </c>
      <c r="F166" s="20" t="n">
        <f aca="false">G165</f>
        <v>46296.2253240741</v>
      </c>
      <c r="G166" s="20" t="n">
        <f aca="false">F166+IF(B166="Y",E166,0)</f>
        <v>46296.226087963</v>
      </c>
      <c r="H166" s="17" t="s">
        <v>334</v>
      </c>
      <c r="I166" s="21" t="n">
        <v>0.588055555555556</v>
      </c>
      <c r="J166" s="22" t="n">
        <f aca="false">ROUND((TIME(6,0,0)+(F166-Summary!$B$4)-I166)*1440,1)</f>
        <v>57.7</v>
      </c>
      <c r="K166" s="23"/>
      <c r="L166" s="17"/>
    </row>
    <row r="167" customFormat="false" ht="15" hidden="false" customHeight="false" outlineLevel="0" collapsed="false">
      <c r="A167" s="17" t="n">
        <v>166</v>
      </c>
      <c r="B167" s="18" t="s">
        <v>45</v>
      </c>
      <c r="C167" s="17" t="s">
        <v>335</v>
      </c>
      <c r="D167" s="18" t="s">
        <v>15</v>
      </c>
      <c r="E167" s="19" t="n">
        <v>0.000636574074074074</v>
      </c>
      <c r="F167" s="20" t="n">
        <f aca="false">G166</f>
        <v>46296.226087963</v>
      </c>
      <c r="G167" s="20" t="n">
        <f aca="false">F167+IF(B167="Y",E167,0)</f>
        <v>46296.226724537</v>
      </c>
      <c r="H167" s="17" t="s">
        <v>336</v>
      </c>
      <c r="I167" s="21" t="n">
        <v>0.588819444444445</v>
      </c>
      <c r="J167" s="22" t="n">
        <f aca="false">ROUND((TIME(6,0,0)+(F167-Summary!$B$4)-I167)*1440,1)</f>
        <v>57.7</v>
      </c>
      <c r="K167" s="23"/>
      <c r="L167" s="17"/>
    </row>
    <row r="168" customFormat="false" ht="15" hidden="false" customHeight="false" outlineLevel="0" collapsed="false">
      <c r="A168" s="17" t="n">
        <v>167</v>
      </c>
      <c r="B168" s="18" t="s">
        <v>45</v>
      </c>
      <c r="C168" s="17" t="s">
        <v>337</v>
      </c>
      <c r="D168" s="18" t="s">
        <v>16</v>
      </c>
      <c r="E168" s="19" t="n">
        <v>0.000347222222222222</v>
      </c>
      <c r="F168" s="20" t="n">
        <f aca="false">G167</f>
        <v>46296.226724537</v>
      </c>
      <c r="G168" s="20" t="n">
        <f aca="false">F168+IF(B168="Y",E168,0)</f>
        <v>46296.2270717593</v>
      </c>
      <c r="H168" s="17" t="s">
        <v>338</v>
      </c>
      <c r="I168" s="21" t="n">
        <v>0.589456018518519</v>
      </c>
      <c r="J168" s="22" t="n">
        <f aca="false">ROUND((TIME(6,0,0)+(F168-Summary!$B$4)-I168)*1440,1)</f>
        <v>57.7</v>
      </c>
      <c r="K168" s="23"/>
      <c r="L168" s="17"/>
    </row>
    <row r="169" customFormat="false" ht="15" hidden="false" customHeight="false" outlineLevel="0" collapsed="false">
      <c r="A169" s="17" t="n">
        <v>168</v>
      </c>
      <c r="B169" s="18" t="s">
        <v>45</v>
      </c>
      <c r="C169" s="17" t="s">
        <v>339</v>
      </c>
      <c r="D169" s="18" t="s">
        <v>17</v>
      </c>
      <c r="E169" s="19" t="n">
        <v>0.00068287037037037</v>
      </c>
      <c r="F169" s="20" t="n">
        <f aca="false">G168</f>
        <v>46296.2270717593</v>
      </c>
      <c r="G169" s="20" t="n">
        <f aca="false">F169+IF(B169="Y",E169,0)</f>
        <v>46296.2277546296</v>
      </c>
      <c r="H169" s="17" t="s">
        <v>340</v>
      </c>
      <c r="I169" s="21" t="n">
        <v>0.589803240740741</v>
      </c>
      <c r="J169" s="22" t="n">
        <f aca="false">ROUND((TIME(6,0,0)+(F169-Summary!$B$4)-I169)*1440,1)</f>
        <v>57.7</v>
      </c>
      <c r="K169" s="23"/>
      <c r="L169" s="17"/>
    </row>
    <row r="170" customFormat="false" ht="15" hidden="false" customHeight="false" outlineLevel="0" collapsed="false">
      <c r="A170" s="17" t="n">
        <v>169</v>
      </c>
      <c r="B170" s="18" t="s">
        <v>45</v>
      </c>
      <c r="C170" s="17" t="s">
        <v>52</v>
      </c>
      <c r="D170" s="18" t="s">
        <v>19</v>
      </c>
      <c r="E170" s="19" t="n">
        <v>0.000115740740740741</v>
      </c>
      <c r="F170" s="20" t="n">
        <f aca="false">G169</f>
        <v>46296.2277546296</v>
      </c>
      <c r="G170" s="20" t="n">
        <f aca="false">F170+IF(B170="Y",E170,0)</f>
        <v>46296.2278703704</v>
      </c>
      <c r="H170" s="17" t="s">
        <v>341</v>
      </c>
      <c r="I170" s="21" t="n">
        <v>0.590486111111111</v>
      </c>
      <c r="J170" s="22" t="n">
        <f aca="false">ROUND((TIME(6,0,0)+(F170-Summary!$B$4)-I170)*1440,1)</f>
        <v>57.7</v>
      </c>
      <c r="K170" s="23"/>
      <c r="L170" s="17"/>
    </row>
    <row r="171" customFormat="false" ht="15" hidden="false" customHeight="false" outlineLevel="0" collapsed="false">
      <c r="A171" s="17" t="n">
        <v>170</v>
      </c>
      <c r="B171" s="18" t="s">
        <v>45</v>
      </c>
      <c r="C171" s="17" t="s">
        <v>342</v>
      </c>
      <c r="D171" s="18" t="s">
        <v>14</v>
      </c>
      <c r="E171" s="19" t="n">
        <v>0.0043287037037037</v>
      </c>
      <c r="F171" s="20" t="n">
        <f aca="false">G170</f>
        <v>46296.2278703704</v>
      </c>
      <c r="G171" s="20" t="n">
        <f aca="false">F171+IF(B171="Y",E171,0)</f>
        <v>46296.2321990741</v>
      </c>
      <c r="H171" s="17" t="s">
        <v>343</v>
      </c>
      <c r="I171" s="21" t="n">
        <v>0.590613425925926</v>
      </c>
      <c r="J171" s="22" t="n">
        <f aca="false">ROUND((TIME(6,0,0)+(F171-Summary!$B$4)-I171)*1440,1)</f>
        <v>57.7</v>
      </c>
      <c r="K171" s="23"/>
      <c r="L171" s="17"/>
    </row>
    <row r="172" customFormat="false" ht="15" hidden="false" customHeight="false" outlineLevel="0" collapsed="false">
      <c r="A172" s="17" t="n">
        <v>171</v>
      </c>
      <c r="B172" s="18" t="s">
        <v>45</v>
      </c>
      <c r="C172" s="17" t="s">
        <v>287</v>
      </c>
      <c r="D172" s="18" t="s">
        <v>16</v>
      </c>
      <c r="E172" s="19" t="n">
        <v>0.000335648148148148</v>
      </c>
      <c r="F172" s="20" t="n">
        <f aca="false">G171</f>
        <v>46296.2321990741</v>
      </c>
      <c r="G172" s="20" t="n">
        <f aca="false">F172+IF(B172="Y",E172,0)</f>
        <v>46296.2325347222</v>
      </c>
      <c r="H172" s="17" t="s">
        <v>344</v>
      </c>
      <c r="I172" s="21" t="n">
        <v>0.59494212962963</v>
      </c>
      <c r="J172" s="22" t="n">
        <f aca="false">ROUND((TIME(6,0,0)+(F172-Summary!$B$4)-I172)*1440,1)</f>
        <v>57.7</v>
      </c>
      <c r="K172" s="23"/>
      <c r="L172" s="17"/>
    </row>
    <row r="173" customFormat="false" ht="15" hidden="false" customHeight="false" outlineLevel="0" collapsed="false">
      <c r="A173" s="17" t="n">
        <v>172</v>
      </c>
      <c r="B173" s="18" t="s">
        <v>45</v>
      </c>
      <c r="C173" s="17" t="s">
        <v>345</v>
      </c>
      <c r="D173" s="18" t="s">
        <v>16</v>
      </c>
      <c r="E173" s="19" t="n">
        <v>0.000115740740740741</v>
      </c>
      <c r="F173" s="20" t="n">
        <f aca="false">G172</f>
        <v>46296.2325347222</v>
      </c>
      <c r="G173" s="20" t="n">
        <f aca="false">F173+IF(B173="Y",E173,0)</f>
        <v>46296.232650463</v>
      </c>
      <c r="H173" s="17" t="s">
        <v>346</v>
      </c>
      <c r="I173" s="21" t="n">
        <v>0.595636574074074</v>
      </c>
      <c r="J173" s="22" t="n">
        <f aca="false">ROUND((TIME(6,0,0)+(F173-Summary!$B$4)-I173)*1440,1)</f>
        <v>57.1</v>
      </c>
      <c r="K173" s="23"/>
      <c r="L173" s="17"/>
    </row>
    <row r="174" customFormat="false" ht="15" hidden="false" customHeight="false" outlineLevel="0" collapsed="false">
      <c r="A174" s="17" t="n">
        <v>173</v>
      </c>
      <c r="B174" s="18" t="s">
        <v>45</v>
      </c>
      <c r="C174" s="17" t="s">
        <v>52</v>
      </c>
      <c r="D174" s="18" t="s">
        <v>19</v>
      </c>
      <c r="E174" s="19" t="n">
        <v>0.000115740740740741</v>
      </c>
      <c r="F174" s="20" t="n">
        <f aca="false">G173</f>
        <v>46296.232650463</v>
      </c>
      <c r="G174" s="20" t="n">
        <f aca="false">F174+IF(B174="Y",E174,0)</f>
        <v>46296.2327662037</v>
      </c>
      <c r="H174" s="17" t="s">
        <v>347</v>
      </c>
      <c r="I174" s="21" t="n">
        <v>0.595752314814815</v>
      </c>
      <c r="J174" s="22" t="n">
        <f aca="false">ROUND((TIME(6,0,0)+(F174-Summary!$B$4)-I174)*1440,1)</f>
        <v>57.1</v>
      </c>
      <c r="K174" s="23"/>
      <c r="L174" s="17"/>
    </row>
    <row r="175" customFormat="false" ht="15" hidden="false" customHeight="false" outlineLevel="0" collapsed="false">
      <c r="A175" s="17" t="n">
        <v>174</v>
      </c>
      <c r="B175" s="18" t="s">
        <v>45</v>
      </c>
      <c r="C175" s="17" t="s">
        <v>348</v>
      </c>
      <c r="D175" s="18" t="s">
        <v>17</v>
      </c>
      <c r="E175" s="19" t="n">
        <v>0.00186342592592593</v>
      </c>
      <c r="F175" s="20" t="n">
        <f aca="false">G174</f>
        <v>46296.2327662037</v>
      </c>
      <c r="G175" s="20" t="n">
        <f aca="false">F175+IF(B175="Y",E175,0)</f>
        <v>46296.2346296296</v>
      </c>
      <c r="H175" s="17" t="s">
        <v>349</v>
      </c>
      <c r="I175" s="21" t="n">
        <v>0.595868055555556</v>
      </c>
      <c r="J175" s="22" t="n">
        <f aca="false">ROUND((TIME(6,0,0)+(F175-Summary!$B$4)-I175)*1440,1)</f>
        <v>57.1</v>
      </c>
      <c r="K175" s="23"/>
      <c r="L175" s="17"/>
    </row>
    <row r="176" customFormat="false" ht="15" hidden="false" customHeight="false" outlineLevel="0" collapsed="false">
      <c r="A176" s="17" t="n">
        <v>175</v>
      </c>
      <c r="B176" s="18" t="s">
        <v>45</v>
      </c>
      <c r="C176" s="17" t="s">
        <v>350</v>
      </c>
      <c r="D176" s="18" t="s">
        <v>14</v>
      </c>
      <c r="E176" s="19" t="n">
        <v>0.00462962962962963</v>
      </c>
      <c r="F176" s="20" t="n">
        <f aca="false">G175</f>
        <v>46296.2346296296</v>
      </c>
      <c r="G176" s="20" t="n">
        <f aca="false">F176+IF(B176="Y",E176,0)</f>
        <v>46296.2392592593</v>
      </c>
      <c r="H176" s="17" t="s">
        <v>351</v>
      </c>
      <c r="I176" s="21" t="n">
        <v>0.597731481481482</v>
      </c>
      <c r="J176" s="22" t="n">
        <f aca="false">ROUND((TIME(6,0,0)+(F176-Summary!$B$4)-I176)*1440,1)</f>
        <v>57.1</v>
      </c>
      <c r="K176" s="23"/>
      <c r="L176" s="17"/>
    </row>
    <row r="177" customFormat="false" ht="15" hidden="false" customHeight="false" outlineLevel="0" collapsed="false">
      <c r="A177" s="17" t="n">
        <v>176</v>
      </c>
      <c r="B177" s="18" t="s">
        <v>45</v>
      </c>
      <c r="C177" s="17" t="s">
        <v>352</v>
      </c>
      <c r="D177" s="18" t="s">
        <v>16</v>
      </c>
      <c r="E177" s="19" t="n">
        <v>0.000694444444444445</v>
      </c>
      <c r="F177" s="20" t="n">
        <f aca="false">G176</f>
        <v>46296.2392592593</v>
      </c>
      <c r="G177" s="20" t="n">
        <f aca="false">F177+IF(B177="Y",E177,0)</f>
        <v>46296.2399537037</v>
      </c>
      <c r="H177" s="17" t="s">
        <v>353</v>
      </c>
      <c r="I177" s="21" t="n">
        <v>0.602361111111111</v>
      </c>
      <c r="J177" s="22" t="n">
        <f aca="false">ROUND((TIME(6,0,0)+(F177-Summary!$B$4)-I177)*1440,1)</f>
        <v>57.1</v>
      </c>
      <c r="K177" s="23"/>
      <c r="L177" s="17"/>
    </row>
    <row r="178" customFormat="false" ht="15" hidden="false" customHeight="false" outlineLevel="0" collapsed="false">
      <c r="A178" s="17" t="n">
        <v>177</v>
      </c>
      <c r="B178" s="18" t="s">
        <v>45</v>
      </c>
      <c r="C178" s="17" t="s">
        <v>52</v>
      </c>
      <c r="D178" s="18" t="s">
        <v>19</v>
      </c>
      <c r="E178" s="19" t="n">
        <v>0.000115740740740741</v>
      </c>
      <c r="F178" s="20" t="n">
        <f aca="false">G177</f>
        <v>46296.2399537037</v>
      </c>
      <c r="G178" s="20" t="n">
        <f aca="false">F178+IF(B178="Y",E178,0)</f>
        <v>46296.2400694444</v>
      </c>
      <c r="H178" s="17" t="s">
        <v>354</v>
      </c>
      <c r="I178" s="21" t="n">
        <v>0.603055555555556</v>
      </c>
      <c r="J178" s="22" t="n">
        <f aca="false">ROUND((TIME(6,0,0)+(F178-Summary!$B$4)-I178)*1440,1)</f>
        <v>57.1</v>
      </c>
      <c r="K178" s="23"/>
      <c r="L178" s="17"/>
    </row>
    <row r="179" customFormat="false" ht="15" hidden="false" customHeight="false" outlineLevel="0" collapsed="false">
      <c r="A179" s="17" t="n">
        <v>178</v>
      </c>
      <c r="B179" s="18" t="s">
        <v>45</v>
      </c>
      <c r="C179" s="17" t="s">
        <v>355</v>
      </c>
      <c r="D179" s="18" t="s">
        <v>14</v>
      </c>
      <c r="E179" s="19" t="n">
        <v>0.00582175925925926</v>
      </c>
      <c r="F179" s="20" t="n">
        <f aca="false">G178</f>
        <v>46296.2400694444</v>
      </c>
      <c r="G179" s="20" t="n">
        <f aca="false">F179+IF(B179="Y",E179,0)</f>
        <v>46296.2458912037</v>
      </c>
      <c r="H179" s="17" t="s">
        <v>356</v>
      </c>
      <c r="I179" s="21" t="n">
        <v>0.603171296296296</v>
      </c>
      <c r="J179" s="22" t="n">
        <f aca="false">ROUND((TIME(6,0,0)+(F179-Summary!$B$4)-I179)*1440,1)</f>
        <v>57.1</v>
      </c>
      <c r="K179" s="23"/>
      <c r="L179" s="17"/>
    </row>
    <row r="180" customFormat="false" ht="15" hidden="false" customHeight="false" outlineLevel="0" collapsed="false">
      <c r="A180" s="17" t="n">
        <v>179</v>
      </c>
      <c r="B180" s="18" t="s">
        <v>45</v>
      </c>
      <c r="C180" s="17" t="s">
        <v>357</v>
      </c>
      <c r="D180" s="18" t="s">
        <v>15</v>
      </c>
      <c r="E180" s="19" t="n">
        <v>0.000243055555555556</v>
      </c>
      <c r="F180" s="20" t="n">
        <f aca="false">G179</f>
        <v>46296.2458912037</v>
      </c>
      <c r="G180" s="20" t="n">
        <f aca="false">F180+IF(B180="Y",E180,0)</f>
        <v>46296.2461342593</v>
      </c>
      <c r="H180" s="17" t="s">
        <v>358</v>
      </c>
      <c r="I180" s="21" t="n">
        <v>0.608993055555556</v>
      </c>
      <c r="J180" s="22" t="n">
        <f aca="false">ROUND((TIME(6,0,0)+(F180-Summary!$B$4)-I180)*1440,1)</f>
        <v>57.1</v>
      </c>
      <c r="K180" s="23"/>
      <c r="L180" s="17"/>
    </row>
    <row r="181" customFormat="false" ht="15" hidden="false" customHeight="false" outlineLevel="0" collapsed="false">
      <c r="A181" s="17" t="n">
        <v>180</v>
      </c>
      <c r="B181" s="18" t="s">
        <v>45</v>
      </c>
      <c r="C181" s="17" t="s">
        <v>359</v>
      </c>
      <c r="D181" s="18" t="s">
        <v>15</v>
      </c>
      <c r="E181" s="19" t="n">
        <v>0.000381944444444445</v>
      </c>
      <c r="F181" s="20" t="n">
        <f aca="false">G180</f>
        <v>46296.2461342593</v>
      </c>
      <c r="G181" s="20" t="n">
        <f aca="false">F181+IF(B181="Y",E181,0)</f>
        <v>46296.2465162037</v>
      </c>
      <c r="H181" s="17" t="s">
        <v>360</v>
      </c>
      <c r="I181" s="21" t="n">
        <v>0.609236111111111</v>
      </c>
      <c r="J181" s="22" t="n">
        <f aca="false">ROUND((TIME(6,0,0)+(F181-Summary!$B$4)-I181)*1440,1)</f>
        <v>57.1</v>
      </c>
      <c r="K181" s="23"/>
      <c r="L181" s="17"/>
    </row>
    <row r="182" customFormat="false" ht="15" hidden="false" customHeight="false" outlineLevel="0" collapsed="false">
      <c r="A182" s="17" t="n">
        <v>181</v>
      </c>
      <c r="B182" s="18" t="s">
        <v>45</v>
      </c>
      <c r="C182" s="17" t="s">
        <v>361</v>
      </c>
      <c r="D182" s="18" t="s">
        <v>14</v>
      </c>
      <c r="E182" s="19" t="n">
        <v>0.0146875</v>
      </c>
      <c r="F182" s="20" t="n">
        <f aca="false">G181</f>
        <v>46296.2465162037</v>
      </c>
      <c r="G182" s="20" t="n">
        <f aca="false">F182+IF(B182="Y",E182,0)</f>
        <v>46296.2612037037</v>
      </c>
      <c r="H182" s="17" t="s">
        <v>362</v>
      </c>
      <c r="I182" s="21" t="n">
        <v>0.609618055555556</v>
      </c>
      <c r="J182" s="22" t="n">
        <f aca="false">ROUND((TIME(6,0,0)+(F182-Summary!$B$4)-I182)*1440,1)</f>
        <v>57.1</v>
      </c>
      <c r="K182" s="23"/>
      <c r="L182" s="17"/>
    </row>
    <row r="183" customFormat="false" ht="15" hidden="false" customHeight="false" outlineLevel="0" collapsed="false">
      <c r="A183" s="17" t="n">
        <v>182</v>
      </c>
      <c r="B183" s="18" t="s">
        <v>45</v>
      </c>
      <c r="C183" s="17" t="s">
        <v>135</v>
      </c>
      <c r="D183" s="18" t="s">
        <v>18</v>
      </c>
      <c r="E183" s="19" t="n">
        <v>6.94444444444444E-005</v>
      </c>
      <c r="F183" s="20" t="n">
        <f aca="false">G182</f>
        <v>46296.2612037037</v>
      </c>
      <c r="G183" s="20" t="n">
        <f aca="false">F183+IF(B183="Y",E183,0)</f>
        <v>46296.2612731482</v>
      </c>
      <c r="H183" s="17" t="s">
        <v>363</v>
      </c>
      <c r="I183" s="21" t="n">
        <v>0.624305555555556</v>
      </c>
      <c r="J183" s="22" t="n">
        <f aca="false">ROUND((TIME(6,0,0)+(F183-Summary!$B$4)-I183)*1440,1)</f>
        <v>57.1</v>
      </c>
      <c r="K183" s="23"/>
      <c r="L183" s="17"/>
    </row>
    <row r="184" customFormat="false" ht="15" hidden="false" customHeight="false" outlineLevel="0" collapsed="false">
      <c r="A184" s="17" t="n">
        <v>183</v>
      </c>
      <c r="B184" s="18" t="s">
        <v>45</v>
      </c>
      <c r="C184" s="17" t="s">
        <v>364</v>
      </c>
      <c r="D184" s="18" t="s">
        <v>15</v>
      </c>
      <c r="E184" s="19" t="n">
        <v>0.000243055555555556</v>
      </c>
      <c r="F184" s="20" t="n">
        <f aca="false">G183</f>
        <v>46296.2612731482</v>
      </c>
      <c r="G184" s="20" t="n">
        <f aca="false">F184+IF(B184="Y",E184,0)</f>
        <v>46296.2615162037</v>
      </c>
      <c r="H184" s="17" t="s">
        <v>365</v>
      </c>
      <c r="I184" s="21" t="n">
        <v>0.624375</v>
      </c>
      <c r="J184" s="22" t="n">
        <f aca="false">ROUND((TIME(6,0,0)+(F184-Summary!$B$4)-I184)*1440,1)</f>
        <v>57.1</v>
      </c>
      <c r="K184" s="23"/>
      <c r="L184" s="17"/>
    </row>
    <row r="185" customFormat="false" ht="15" hidden="false" customHeight="false" outlineLevel="0" collapsed="false">
      <c r="A185" s="17" t="n">
        <v>184</v>
      </c>
      <c r="B185" s="18" t="s">
        <v>45</v>
      </c>
      <c r="C185" s="17" t="s">
        <v>366</v>
      </c>
      <c r="D185" s="18" t="s">
        <v>16</v>
      </c>
      <c r="E185" s="19" t="n">
        <v>0.000474537037037037</v>
      </c>
      <c r="F185" s="20" t="n">
        <f aca="false">G184</f>
        <v>46296.2615162037</v>
      </c>
      <c r="G185" s="20" t="n">
        <f aca="false">F185+IF(B185="Y",E185,0)</f>
        <v>46296.2619907407</v>
      </c>
      <c r="H185" s="17" t="s">
        <v>367</v>
      </c>
      <c r="I185" s="21" t="n">
        <v>0.624618055555556</v>
      </c>
      <c r="J185" s="22" t="n">
        <f aca="false">ROUND((TIME(6,0,0)+(F185-Summary!$B$4)-I185)*1440,1)</f>
        <v>57.1</v>
      </c>
      <c r="K185" s="23"/>
      <c r="L185" s="17"/>
    </row>
    <row r="186" customFormat="false" ht="15" hidden="false" customHeight="false" outlineLevel="0" collapsed="false">
      <c r="A186" s="17" t="n">
        <v>185</v>
      </c>
      <c r="B186" s="18" t="s">
        <v>45</v>
      </c>
      <c r="C186" s="17" t="s">
        <v>52</v>
      </c>
      <c r="D186" s="18" t="s">
        <v>19</v>
      </c>
      <c r="E186" s="19" t="n">
        <v>0.000115740740740741</v>
      </c>
      <c r="F186" s="20" t="n">
        <f aca="false">G185</f>
        <v>46296.2619907407</v>
      </c>
      <c r="G186" s="20" t="n">
        <f aca="false">F186+IF(B186="Y",E186,0)</f>
        <v>46296.2621064815</v>
      </c>
      <c r="H186" s="17" t="s">
        <v>368</v>
      </c>
      <c r="I186" s="21" t="n">
        <v>0.625092592592593</v>
      </c>
      <c r="J186" s="22" t="n">
        <f aca="false">ROUND((TIME(6,0,0)+(F186-Summary!$B$4)-I186)*1440,1)</f>
        <v>57.1</v>
      </c>
      <c r="K186" s="23"/>
      <c r="L186" s="17"/>
    </row>
    <row r="187" customFormat="false" ht="15" hidden="false" customHeight="false" outlineLevel="0" collapsed="false">
      <c r="A187" s="17" t="n">
        <v>186</v>
      </c>
      <c r="B187" s="18" t="s">
        <v>45</v>
      </c>
      <c r="C187" s="17" t="s">
        <v>369</v>
      </c>
      <c r="D187" s="18" t="s">
        <v>15</v>
      </c>
      <c r="E187" s="19" t="n">
        <v>0.000648148148148148</v>
      </c>
      <c r="F187" s="20" t="n">
        <f aca="false">G186</f>
        <v>46296.2621064815</v>
      </c>
      <c r="G187" s="20" t="n">
        <f aca="false">F187+IF(B187="Y",E187,0)</f>
        <v>46296.2627546296</v>
      </c>
      <c r="H187" s="17" t="s">
        <v>370</v>
      </c>
      <c r="I187" s="21" t="n">
        <v>0.625208333333333</v>
      </c>
      <c r="J187" s="22" t="n">
        <f aca="false">ROUND((TIME(6,0,0)+(F187-Summary!$B$4)-I187)*1440,1)</f>
        <v>57.1</v>
      </c>
      <c r="K187" s="23"/>
      <c r="L187" s="17"/>
    </row>
    <row r="188" customFormat="false" ht="15" hidden="false" customHeight="false" outlineLevel="0" collapsed="false">
      <c r="A188" s="17" t="n">
        <v>187</v>
      </c>
      <c r="B188" s="18" t="s">
        <v>45</v>
      </c>
      <c r="C188" s="17" t="s">
        <v>371</v>
      </c>
      <c r="D188" s="18" t="s">
        <v>16</v>
      </c>
      <c r="E188" s="19" t="n">
        <v>0.00292824074074074</v>
      </c>
      <c r="F188" s="20" t="n">
        <f aca="false">G187</f>
        <v>46296.2627546296</v>
      </c>
      <c r="G188" s="20" t="n">
        <f aca="false">F188+IF(B188="Y",E188,0)</f>
        <v>46296.2656828704</v>
      </c>
      <c r="H188" s="17" t="s">
        <v>372</v>
      </c>
      <c r="I188" s="21" t="n">
        <v>0.625902777777778</v>
      </c>
      <c r="J188" s="22" t="n">
        <f aca="false">ROUND((TIME(6,0,0)+(F188-Summary!$B$4)-I188)*1440,1)</f>
        <v>57.1</v>
      </c>
      <c r="K188" s="23"/>
      <c r="L188" s="17"/>
    </row>
    <row r="189" customFormat="false" ht="15" hidden="false" customHeight="false" outlineLevel="0" collapsed="false">
      <c r="A189" s="17" t="n">
        <v>188</v>
      </c>
      <c r="B189" s="18" t="s">
        <v>45</v>
      </c>
      <c r="C189" s="17" t="s">
        <v>135</v>
      </c>
      <c r="D189" s="18" t="s">
        <v>18</v>
      </c>
      <c r="E189" s="19" t="n">
        <v>6.94444444444444E-005</v>
      </c>
      <c r="F189" s="20" t="n">
        <f aca="false">G188</f>
        <v>46296.2656828704</v>
      </c>
      <c r="G189" s="20" t="n">
        <f aca="false">F189+IF(B189="Y",E189,0)</f>
        <v>46296.2657523148</v>
      </c>
      <c r="H189" s="17" t="s">
        <v>373</v>
      </c>
      <c r="I189" s="21" t="n">
        <v>0.628831018518519</v>
      </c>
      <c r="J189" s="22" t="n">
        <f aca="false">ROUND((TIME(6,0,0)+(F189-Summary!$B$4)-I189)*1440,1)</f>
        <v>57.1</v>
      </c>
      <c r="K189" s="23"/>
      <c r="L189" s="17"/>
    </row>
    <row r="190" customFormat="false" ht="15" hidden="false" customHeight="false" outlineLevel="0" collapsed="false">
      <c r="A190" s="17" t="n">
        <v>189</v>
      </c>
      <c r="B190" s="18" t="s">
        <v>45</v>
      </c>
      <c r="C190" s="17" t="s">
        <v>374</v>
      </c>
      <c r="D190" s="18" t="s">
        <v>14</v>
      </c>
      <c r="E190" s="19" t="n">
        <v>0.00454861111111111</v>
      </c>
      <c r="F190" s="20" t="n">
        <f aca="false">G189</f>
        <v>46296.2657523148</v>
      </c>
      <c r="G190" s="20" t="n">
        <f aca="false">F190+IF(B190="Y",E190,0)</f>
        <v>46296.2703009259</v>
      </c>
      <c r="H190" s="17" t="s">
        <v>375</v>
      </c>
      <c r="I190" s="21" t="n">
        <v>0.628900462962963</v>
      </c>
      <c r="J190" s="22" t="n">
        <f aca="false">ROUND((TIME(6,0,0)+(F190-Summary!$B$4)-I190)*1440,1)</f>
        <v>57.1</v>
      </c>
      <c r="K190" s="23"/>
      <c r="L190" s="17"/>
    </row>
    <row r="191" customFormat="false" ht="15" hidden="false" customHeight="false" outlineLevel="0" collapsed="false">
      <c r="A191" s="17" t="n">
        <v>190</v>
      </c>
      <c r="B191" s="18" t="s">
        <v>45</v>
      </c>
      <c r="C191" s="17" t="s">
        <v>352</v>
      </c>
      <c r="D191" s="18" t="s">
        <v>16</v>
      </c>
      <c r="E191" s="19" t="n">
        <v>0.000694444444444445</v>
      </c>
      <c r="F191" s="20" t="n">
        <f aca="false">G190</f>
        <v>46296.2703009259</v>
      </c>
      <c r="G191" s="20" t="n">
        <f aca="false">F191+IF(B191="Y",E191,0)</f>
        <v>46296.2709953704</v>
      </c>
      <c r="H191" s="17" t="s">
        <v>376</v>
      </c>
      <c r="I191" s="21" t="n">
        <v>0.633449074074074</v>
      </c>
      <c r="J191" s="22" t="n">
        <f aca="false">ROUND((TIME(6,0,0)+(F191-Summary!$B$4)-I191)*1440,1)</f>
        <v>57.1</v>
      </c>
      <c r="K191" s="23"/>
      <c r="L191" s="17"/>
    </row>
    <row r="192" customFormat="false" ht="15" hidden="false" customHeight="false" outlineLevel="0" collapsed="false">
      <c r="A192" s="17" t="n">
        <v>191</v>
      </c>
      <c r="B192" s="18" t="s">
        <v>45</v>
      </c>
      <c r="C192" s="17" t="s">
        <v>135</v>
      </c>
      <c r="D192" s="18" t="s">
        <v>18</v>
      </c>
      <c r="E192" s="19" t="n">
        <v>6.94444444444444E-005</v>
      </c>
      <c r="F192" s="20" t="n">
        <f aca="false">G191</f>
        <v>46296.2709953704</v>
      </c>
      <c r="G192" s="20" t="n">
        <f aca="false">F192+IF(B192="Y",E192,0)</f>
        <v>46296.2710648148</v>
      </c>
      <c r="H192" s="17" t="s">
        <v>377</v>
      </c>
      <c r="I192" s="21" t="n">
        <v>0.634143518518519</v>
      </c>
      <c r="J192" s="22" t="n">
        <f aca="false">ROUND((TIME(6,0,0)+(F192-Summary!$B$4)-I192)*1440,1)</f>
        <v>57.1</v>
      </c>
      <c r="K192" s="23"/>
      <c r="L192" s="17"/>
    </row>
    <row r="193" customFormat="false" ht="15" hidden="false" customHeight="false" outlineLevel="0" collapsed="false">
      <c r="A193" s="17" t="n">
        <v>192</v>
      </c>
      <c r="B193" s="18" t="s">
        <v>45</v>
      </c>
      <c r="C193" s="17" t="s">
        <v>378</v>
      </c>
      <c r="D193" s="18" t="s">
        <v>14</v>
      </c>
      <c r="E193" s="19" t="n">
        <v>0.0157407407407407</v>
      </c>
      <c r="F193" s="20" t="n">
        <f aca="false">G192</f>
        <v>46296.2710648148</v>
      </c>
      <c r="G193" s="20" t="n">
        <f aca="false">F193+IF(B193="Y",E193,0)</f>
        <v>46296.2868055556</v>
      </c>
      <c r="H193" s="17" t="s">
        <v>379</v>
      </c>
      <c r="I193" s="21" t="n">
        <v>0.634212962962963</v>
      </c>
      <c r="J193" s="22" t="n">
        <f aca="false">ROUND((TIME(6,0,0)+(F193-Summary!$B$4)-I193)*1440,1)</f>
        <v>57.1</v>
      </c>
      <c r="K193" s="23"/>
      <c r="L193" s="17"/>
    </row>
    <row r="194" customFormat="false" ht="15" hidden="false" customHeight="false" outlineLevel="0" collapsed="false">
      <c r="A194" s="17" t="n">
        <v>193</v>
      </c>
      <c r="B194" s="18" t="s">
        <v>45</v>
      </c>
      <c r="C194" s="17" t="s">
        <v>135</v>
      </c>
      <c r="D194" s="18" t="s">
        <v>18</v>
      </c>
      <c r="E194" s="19" t="n">
        <v>6.94444444444444E-005</v>
      </c>
      <c r="F194" s="20" t="n">
        <f aca="false">G193</f>
        <v>46296.2868055556</v>
      </c>
      <c r="G194" s="20" t="n">
        <f aca="false">F194+IF(B194="Y",E194,0)</f>
        <v>46296.286875</v>
      </c>
      <c r="H194" s="17" t="s">
        <v>380</v>
      </c>
      <c r="I194" s="21" t="n">
        <v>0.649953703703704</v>
      </c>
      <c r="J194" s="22" t="n">
        <f aca="false">ROUND((TIME(6,0,0)+(F194-Summary!$B$4)-I194)*1440,1)</f>
        <v>57.1</v>
      </c>
      <c r="K194" s="23"/>
      <c r="L194" s="17"/>
    </row>
    <row r="195" customFormat="false" ht="15" hidden="false" customHeight="false" outlineLevel="0" collapsed="false">
      <c r="A195" s="17" t="n">
        <v>194</v>
      </c>
      <c r="B195" s="18" t="s">
        <v>45</v>
      </c>
      <c r="C195" s="17" t="s">
        <v>160</v>
      </c>
      <c r="D195" s="18" t="s">
        <v>16</v>
      </c>
      <c r="E195" s="19" t="n">
        <v>0.000694444444444445</v>
      </c>
      <c r="F195" s="20" t="n">
        <f aca="false">G194</f>
        <v>46296.286875</v>
      </c>
      <c r="G195" s="20" t="n">
        <f aca="false">F195+IF(B195="Y",E195,0)</f>
        <v>46296.2875694444</v>
      </c>
      <c r="H195" s="17" t="s">
        <v>381</v>
      </c>
      <c r="I195" s="21" t="n">
        <v>0.650023148148148</v>
      </c>
      <c r="J195" s="22" t="n">
        <f aca="false">ROUND((TIME(6,0,0)+(F195-Summary!$B$4)-I195)*1440,1)</f>
        <v>57.1</v>
      </c>
      <c r="K195" s="23"/>
      <c r="L195" s="17"/>
    </row>
    <row r="196" customFormat="false" ht="15" hidden="false" customHeight="false" outlineLevel="0" collapsed="false">
      <c r="A196" s="17" t="n">
        <v>195</v>
      </c>
      <c r="B196" s="18" t="s">
        <v>45</v>
      </c>
      <c r="C196" s="17" t="s">
        <v>267</v>
      </c>
      <c r="D196" s="18" t="s">
        <v>16</v>
      </c>
      <c r="E196" s="19" t="n">
        <v>0.00149305555555556</v>
      </c>
      <c r="F196" s="20" t="n">
        <f aca="false">G195</f>
        <v>46296.2875694444</v>
      </c>
      <c r="G196" s="20" t="n">
        <f aca="false">F196+IF(B196="Y",E196,0)</f>
        <v>46296.2890625</v>
      </c>
      <c r="H196" s="17" t="s">
        <v>382</v>
      </c>
      <c r="I196" s="21" t="n">
        <v>0.650717592592593</v>
      </c>
      <c r="J196" s="22" t="n">
        <f aca="false">ROUND((TIME(6,0,0)+(F196-Summary!$B$4)-I196)*1440,1)</f>
        <v>57.1</v>
      </c>
      <c r="K196" s="23"/>
      <c r="L196" s="17"/>
    </row>
    <row r="197" customFormat="false" ht="15" hidden="false" customHeight="false" outlineLevel="0" collapsed="false">
      <c r="A197" s="17" t="n">
        <v>196</v>
      </c>
      <c r="B197" s="18" t="s">
        <v>45</v>
      </c>
      <c r="C197" s="17" t="s">
        <v>135</v>
      </c>
      <c r="D197" s="18" t="s">
        <v>18</v>
      </c>
      <c r="E197" s="19" t="n">
        <v>6.94444444444444E-005</v>
      </c>
      <c r="F197" s="20" t="n">
        <f aca="false">G196</f>
        <v>46296.2890625</v>
      </c>
      <c r="G197" s="20" t="n">
        <f aca="false">F197+IF(B197="Y",E197,0)</f>
        <v>46296.2891319444</v>
      </c>
      <c r="H197" s="17" t="s">
        <v>383</v>
      </c>
      <c r="I197" s="21" t="n">
        <v>0.652210648148148</v>
      </c>
      <c r="J197" s="22" t="n">
        <f aca="false">ROUND((TIME(6,0,0)+(F197-Summary!$B$4)-I197)*1440,1)</f>
        <v>57.1</v>
      </c>
      <c r="K197" s="23"/>
      <c r="L197" s="17"/>
    </row>
    <row r="198" customFormat="false" ht="15" hidden="false" customHeight="false" outlineLevel="0" collapsed="false">
      <c r="A198" s="17" t="n">
        <v>197</v>
      </c>
      <c r="B198" s="18" t="s">
        <v>45</v>
      </c>
      <c r="C198" s="17" t="s">
        <v>384</v>
      </c>
      <c r="D198" s="18" t="s">
        <v>15</v>
      </c>
      <c r="E198" s="19" t="n">
        <v>0.0009375</v>
      </c>
      <c r="F198" s="20" t="n">
        <f aca="false">G197</f>
        <v>46296.2891319444</v>
      </c>
      <c r="G198" s="20" t="n">
        <f aca="false">F198+IF(B198="Y",E198,0)</f>
        <v>46296.2900694445</v>
      </c>
      <c r="H198" s="17" t="s">
        <v>385</v>
      </c>
      <c r="I198" s="21" t="n">
        <v>0.652280092592593</v>
      </c>
      <c r="J198" s="22" t="n">
        <f aca="false">ROUND((TIME(6,0,0)+(F198-Summary!$B$4)-I198)*1440,1)</f>
        <v>57.1</v>
      </c>
      <c r="K198" s="23"/>
      <c r="L198" s="17"/>
    </row>
    <row r="199" customFormat="false" ht="15" hidden="false" customHeight="false" outlineLevel="0" collapsed="false">
      <c r="A199" s="17" t="n">
        <v>198</v>
      </c>
      <c r="B199" s="18" t="s">
        <v>45</v>
      </c>
      <c r="C199" s="17" t="s">
        <v>386</v>
      </c>
      <c r="D199" s="18" t="s">
        <v>17</v>
      </c>
      <c r="E199" s="19" t="n">
        <v>0.00056712962962963</v>
      </c>
      <c r="F199" s="20" t="n">
        <f aca="false">G198</f>
        <v>46296.2900694445</v>
      </c>
      <c r="G199" s="20" t="n">
        <f aca="false">F199+IF(B199="Y",E199,0)</f>
        <v>46296.2906365741</v>
      </c>
      <c r="H199" s="17" t="s">
        <v>387</v>
      </c>
      <c r="I199" s="21" t="n">
        <v>0.653217592592593</v>
      </c>
      <c r="J199" s="22" t="n">
        <f aca="false">ROUND((TIME(6,0,0)+(F199-Summary!$B$4)-I199)*1440,1)</f>
        <v>57.1</v>
      </c>
      <c r="K199" s="23"/>
      <c r="L199" s="17"/>
    </row>
    <row r="200" customFormat="false" ht="15" hidden="false" customHeight="false" outlineLevel="0" collapsed="false">
      <c r="A200" s="17" t="n">
        <v>199</v>
      </c>
      <c r="B200" s="18" t="s">
        <v>45</v>
      </c>
      <c r="C200" s="17" t="s">
        <v>52</v>
      </c>
      <c r="D200" s="18" t="s">
        <v>19</v>
      </c>
      <c r="E200" s="19" t="n">
        <v>0.000115740740740741</v>
      </c>
      <c r="F200" s="20" t="n">
        <f aca="false">G199</f>
        <v>46296.2906365741</v>
      </c>
      <c r="G200" s="20" t="n">
        <f aca="false">F200+IF(B200="Y",E200,0)</f>
        <v>46296.2907523148</v>
      </c>
      <c r="H200" s="17" t="s">
        <v>388</v>
      </c>
      <c r="I200" s="21" t="n">
        <v>0.653784722222222</v>
      </c>
      <c r="J200" s="22" t="n">
        <f aca="false">ROUND((TIME(6,0,0)+(F200-Summary!$B$4)-I200)*1440,1)</f>
        <v>57.1</v>
      </c>
      <c r="K200" s="23"/>
      <c r="L200" s="17"/>
    </row>
    <row r="201" customFormat="false" ht="15" hidden="false" customHeight="false" outlineLevel="0" collapsed="false">
      <c r="A201" s="17" t="n">
        <v>200</v>
      </c>
      <c r="B201" s="18" t="s">
        <v>45</v>
      </c>
      <c r="C201" s="17" t="s">
        <v>389</v>
      </c>
      <c r="D201" s="18" t="s">
        <v>14</v>
      </c>
      <c r="E201" s="19" t="n">
        <v>0.0186921296296296</v>
      </c>
      <c r="F201" s="20" t="n">
        <f aca="false">G200</f>
        <v>46296.2907523148</v>
      </c>
      <c r="G201" s="20" t="n">
        <f aca="false">F201+IF(B201="Y",E201,0)</f>
        <v>46296.3094444444</v>
      </c>
      <c r="H201" s="17" t="s">
        <v>390</v>
      </c>
      <c r="I201" s="21" t="n">
        <v>0.654594907407407</v>
      </c>
      <c r="J201" s="22" t="n">
        <f aca="false">ROUND((TIME(6,0,0)+(F201-Summary!$B$4)-I201)*1440,1)</f>
        <v>56.1</v>
      </c>
      <c r="K201" s="23"/>
      <c r="L201" s="17"/>
    </row>
    <row r="202" customFormat="false" ht="15" hidden="false" customHeight="false" outlineLevel="0" collapsed="false">
      <c r="A202" s="17" t="n">
        <v>201</v>
      </c>
      <c r="B202" s="18" t="s">
        <v>45</v>
      </c>
      <c r="C202" s="17" t="s">
        <v>52</v>
      </c>
      <c r="D202" s="18" t="s">
        <v>19</v>
      </c>
      <c r="E202" s="19" t="n">
        <v>0.000115740740740741</v>
      </c>
      <c r="F202" s="20" t="n">
        <f aca="false">G201</f>
        <v>46296.3094444444</v>
      </c>
      <c r="G202" s="20" t="n">
        <f aca="false">F202+IF(B202="Y",E202,0)</f>
        <v>46296.3095601852</v>
      </c>
      <c r="H202" s="17" t="s">
        <v>391</v>
      </c>
      <c r="I202" s="21" t="n">
        <v>0.673287037037037</v>
      </c>
      <c r="J202" s="22" t="n">
        <f aca="false">ROUND((TIME(6,0,0)+(F202-Summary!$B$4)-I202)*1440,1)</f>
        <v>56.1</v>
      </c>
      <c r="K202" s="23"/>
      <c r="L202" s="17"/>
    </row>
    <row r="203" customFormat="false" ht="15" hidden="false" customHeight="false" outlineLevel="0" collapsed="false">
      <c r="A203" s="17" t="n">
        <v>202</v>
      </c>
      <c r="B203" s="18" t="s">
        <v>45</v>
      </c>
      <c r="C203" s="17" t="s">
        <v>392</v>
      </c>
      <c r="D203" s="18" t="s">
        <v>16</v>
      </c>
      <c r="E203" s="19" t="n">
        <v>0.000520833333333333</v>
      </c>
      <c r="F203" s="20" t="n">
        <f aca="false">G202</f>
        <v>46296.3095601852</v>
      </c>
      <c r="G203" s="20" t="n">
        <f aca="false">F203+IF(B203="Y",E203,0)</f>
        <v>46296.3100810185</v>
      </c>
      <c r="H203" s="17" t="s">
        <v>393</v>
      </c>
      <c r="I203" s="21" t="n">
        <v>0.673402777777778</v>
      </c>
      <c r="J203" s="22" t="n">
        <f aca="false">ROUND((TIME(6,0,0)+(F203-Summary!$B$4)-I203)*1440,1)</f>
        <v>56.1</v>
      </c>
      <c r="K203" s="23"/>
      <c r="L203" s="17"/>
    </row>
    <row r="204" customFormat="false" ht="15" hidden="false" customHeight="false" outlineLevel="0" collapsed="false">
      <c r="A204" s="17" t="n">
        <v>203</v>
      </c>
      <c r="B204" s="18" t="s">
        <v>45</v>
      </c>
      <c r="C204" s="17" t="s">
        <v>394</v>
      </c>
      <c r="D204" s="18" t="s">
        <v>16</v>
      </c>
      <c r="E204" s="19" t="n">
        <v>0.000520833333333333</v>
      </c>
      <c r="F204" s="20" t="n">
        <f aca="false">G203</f>
        <v>46296.3100810185</v>
      </c>
      <c r="G204" s="20" t="n">
        <f aca="false">F204+IF(B204="Y",E204,0)</f>
        <v>46296.3106018519</v>
      </c>
      <c r="H204" s="17" t="s">
        <v>395</v>
      </c>
      <c r="I204" s="21" t="n">
        <v>0.673923611111111</v>
      </c>
      <c r="J204" s="22" t="n">
        <f aca="false">ROUND((TIME(6,0,0)+(F204-Summary!$B$4)-I204)*1440,1)</f>
        <v>56.1</v>
      </c>
      <c r="K204" s="23"/>
      <c r="L204" s="17"/>
    </row>
    <row r="205" customFormat="false" ht="15" hidden="false" customHeight="false" outlineLevel="0" collapsed="false">
      <c r="A205" s="17" t="n">
        <v>204</v>
      </c>
      <c r="B205" s="18" t="s">
        <v>45</v>
      </c>
      <c r="C205" s="17" t="s">
        <v>135</v>
      </c>
      <c r="D205" s="18" t="s">
        <v>18</v>
      </c>
      <c r="E205" s="19" t="n">
        <v>6.94444444444444E-005</v>
      </c>
      <c r="F205" s="20" t="n">
        <f aca="false">G204</f>
        <v>46296.3106018519</v>
      </c>
      <c r="G205" s="20" t="n">
        <f aca="false">F205+IF(B205="Y",E205,0)</f>
        <v>46296.3106712963</v>
      </c>
      <c r="H205" s="17" t="s">
        <v>396</v>
      </c>
      <c r="I205" s="21" t="n">
        <v>0.674444444444444</v>
      </c>
      <c r="J205" s="22" t="n">
        <f aca="false">ROUND((TIME(6,0,0)+(F205-Summary!$B$4)-I205)*1440,1)</f>
        <v>56.1</v>
      </c>
      <c r="K205" s="23"/>
      <c r="L205" s="17"/>
    </row>
    <row r="206" customFormat="false" ht="15" hidden="false" customHeight="false" outlineLevel="0" collapsed="false">
      <c r="A206" s="17" t="n">
        <v>205</v>
      </c>
      <c r="B206" s="18" t="s">
        <v>45</v>
      </c>
      <c r="C206" s="17" t="s">
        <v>397</v>
      </c>
      <c r="D206" s="18" t="s">
        <v>14</v>
      </c>
      <c r="E206" s="19" t="n">
        <v>0.0195023148148148</v>
      </c>
      <c r="F206" s="20" t="n">
        <f aca="false">G205</f>
        <v>46296.3106712963</v>
      </c>
      <c r="G206" s="20" t="n">
        <f aca="false">F206+IF(B206="Y",E206,0)</f>
        <v>46296.3301736111</v>
      </c>
      <c r="H206" s="17" t="s">
        <v>398</v>
      </c>
      <c r="I206" s="21" t="n">
        <v>0.674513888888889</v>
      </c>
      <c r="J206" s="22" t="n">
        <f aca="false">ROUND((TIME(6,0,0)+(F206-Summary!$B$4)-I206)*1440,1)</f>
        <v>56.1</v>
      </c>
      <c r="K206" s="23"/>
      <c r="L206" s="17"/>
    </row>
    <row r="207" customFormat="false" ht="15" hidden="false" customHeight="false" outlineLevel="0" collapsed="false">
      <c r="A207" s="17" t="n">
        <v>206</v>
      </c>
      <c r="B207" s="18" t="s">
        <v>45</v>
      </c>
      <c r="C207" s="17" t="s">
        <v>135</v>
      </c>
      <c r="D207" s="18" t="s">
        <v>18</v>
      </c>
      <c r="E207" s="19" t="n">
        <v>6.94444444444444E-005</v>
      </c>
      <c r="F207" s="20" t="n">
        <f aca="false">G206</f>
        <v>46296.3301736111</v>
      </c>
      <c r="G207" s="20" t="n">
        <f aca="false">F207+IF(B207="Y",E207,0)</f>
        <v>46296.3302430556</v>
      </c>
      <c r="H207" s="17" t="s">
        <v>399</v>
      </c>
      <c r="I207" s="21" t="n">
        <v>0.694016203703704</v>
      </c>
      <c r="J207" s="22" t="n">
        <f aca="false">ROUND((TIME(6,0,0)+(F207-Summary!$B$4)-I207)*1440,1)</f>
        <v>56.1</v>
      </c>
      <c r="K207" s="23"/>
      <c r="L207" s="17"/>
    </row>
    <row r="208" customFormat="false" ht="15" hidden="false" customHeight="false" outlineLevel="0" collapsed="false">
      <c r="A208" s="17" t="n">
        <v>207</v>
      </c>
      <c r="B208" s="18" t="s">
        <v>45</v>
      </c>
      <c r="C208" s="17" t="s">
        <v>81</v>
      </c>
      <c r="D208" s="18" t="s">
        <v>17</v>
      </c>
      <c r="E208" s="19" t="n">
        <v>0.000949074074074074</v>
      </c>
      <c r="F208" s="20" t="n">
        <f aca="false">G207</f>
        <v>46296.3302430556</v>
      </c>
      <c r="G208" s="20" t="n">
        <f aca="false">F208+IF(B208="Y",E208,0)</f>
        <v>46296.3311921296</v>
      </c>
      <c r="H208" s="17" t="s">
        <v>400</v>
      </c>
      <c r="I208" s="21" t="n">
        <v>0.694085648148148</v>
      </c>
      <c r="J208" s="22" t="n">
        <f aca="false">ROUND((TIME(6,0,0)+(F208-Summary!$B$4)-I208)*1440,1)</f>
        <v>56.1</v>
      </c>
      <c r="K208" s="23"/>
      <c r="L208" s="17"/>
    </row>
    <row r="209" customFormat="false" ht="15" hidden="false" customHeight="false" outlineLevel="0" collapsed="false">
      <c r="A209" s="17" t="n">
        <v>208</v>
      </c>
      <c r="B209" s="18" t="s">
        <v>45</v>
      </c>
      <c r="C209" s="17" t="s">
        <v>401</v>
      </c>
      <c r="D209" s="18" t="s">
        <v>15</v>
      </c>
      <c r="E209" s="19" t="n">
        <v>0.00111111111111111</v>
      </c>
      <c r="F209" s="20" t="n">
        <f aca="false">G208</f>
        <v>46296.3311921296</v>
      </c>
      <c r="G209" s="20" t="n">
        <f aca="false">F209+IF(B209="Y",E209,0)</f>
        <v>46296.3323032407</v>
      </c>
      <c r="H209" s="17" t="s">
        <v>402</v>
      </c>
      <c r="I209" s="21" t="n">
        <v>0.695034722222222</v>
      </c>
      <c r="J209" s="22" t="n">
        <f aca="false">ROUND((TIME(6,0,0)+(F209-Summary!$B$4)-I209)*1440,1)</f>
        <v>56.1</v>
      </c>
      <c r="K209" s="23"/>
      <c r="L209" s="17"/>
    </row>
    <row r="210" customFormat="false" ht="15" hidden="false" customHeight="false" outlineLevel="0" collapsed="false">
      <c r="A210" s="17" t="n">
        <v>209</v>
      </c>
      <c r="B210" s="18" t="s">
        <v>45</v>
      </c>
      <c r="C210" s="17" t="s">
        <v>52</v>
      </c>
      <c r="D210" s="18" t="s">
        <v>19</v>
      </c>
      <c r="E210" s="19" t="n">
        <v>0.000115740740740741</v>
      </c>
      <c r="F210" s="20" t="n">
        <f aca="false">G209</f>
        <v>46296.3323032407</v>
      </c>
      <c r="G210" s="20" t="n">
        <f aca="false">F210+IF(B210="Y",E210,0)</f>
        <v>46296.3324189815</v>
      </c>
      <c r="H210" s="17" t="s">
        <v>403</v>
      </c>
      <c r="I210" s="21" t="n">
        <v>0.696145833333333</v>
      </c>
      <c r="J210" s="22" t="n">
        <f aca="false">ROUND((TIME(6,0,0)+(F210-Summary!$B$4)-I210)*1440,1)</f>
        <v>56.1</v>
      </c>
      <c r="K210" s="23"/>
      <c r="L210" s="17"/>
    </row>
    <row r="211" customFormat="false" ht="15" hidden="false" customHeight="false" outlineLevel="0" collapsed="false">
      <c r="A211" s="17" t="n">
        <v>210</v>
      </c>
      <c r="B211" s="18" t="s">
        <v>45</v>
      </c>
      <c r="C211" s="17" t="s">
        <v>404</v>
      </c>
      <c r="D211" s="18" t="s">
        <v>14</v>
      </c>
      <c r="E211" s="19" t="n">
        <v>0.0171064814814815</v>
      </c>
      <c r="F211" s="20" t="n">
        <f aca="false">G210</f>
        <v>46296.3324189815</v>
      </c>
      <c r="G211" s="20" t="n">
        <f aca="false">F211+IF(B211="Y",E211,0)</f>
        <v>46296.349525463</v>
      </c>
      <c r="H211" s="17" t="s">
        <v>405</v>
      </c>
      <c r="I211" s="21" t="n">
        <v>0.696261574074074</v>
      </c>
      <c r="J211" s="22" t="n">
        <f aca="false">ROUND((TIME(6,0,0)+(F211-Summary!$B$4)-I211)*1440,1)</f>
        <v>56.1</v>
      </c>
      <c r="K211" s="23"/>
      <c r="L211" s="17"/>
    </row>
    <row r="212" customFormat="false" ht="15" hidden="false" customHeight="false" outlineLevel="0" collapsed="false">
      <c r="A212" s="17" t="n">
        <v>211</v>
      </c>
      <c r="B212" s="18" t="s">
        <v>45</v>
      </c>
      <c r="C212" s="17" t="s">
        <v>406</v>
      </c>
      <c r="D212" s="18" t="s">
        <v>18</v>
      </c>
      <c r="E212" s="19" t="n">
        <v>6.94444444444444E-005</v>
      </c>
      <c r="F212" s="20" t="n">
        <f aca="false">G211</f>
        <v>46296.349525463</v>
      </c>
      <c r="G212" s="20" t="n">
        <f aca="false">F212+IF(B212="Y",E212,0)</f>
        <v>46296.3495949074</v>
      </c>
      <c r="H212" s="17" t="s">
        <v>407</v>
      </c>
      <c r="I212" s="21" t="n">
        <v>0.713368055555556</v>
      </c>
      <c r="J212" s="22" t="n">
        <f aca="false">ROUND((TIME(6,0,0)+(F212-Summary!$B$4)-I212)*1440,1)</f>
        <v>56.1</v>
      </c>
      <c r="K212" s="23"/>
      <c r="L212" s="17"/>
    </row>
    <row r="213" customFormat="false" ht="15" hidden="false" customHeight="false" outlineLevel="0" collapsed="false">
      <c r="A213" s="17" t="n">
        <v>212</v>
      </c>
      <c r="B213" s="18" t="s">
        <v>45</v>
      </c>
      <c r="C213" s="17" t="s">
        <v>408</v>
      </c>
      <c r="D213" s="18" t="s">
        <v>14</v>
      </c>
      <c r="E213" s="19" t="n">
        <v>0.00346064814814815</v>
      </c>
      <c r="F213" s="20" t="n">
        <f aca="false">G212</f>
        <v>46296.3495949074</v>
      </c>
      <c r="G213" s="20" t="n">
        <f aca="false">F213+IF(B213="Y",E213,0)</f>
        <v>46296.3530555556</v>
      </c>
      <c r="H213" s="17" t="s">
        <v>409</v>
      </c>
      <c r="I213" s="21" t="n">
        <v>0.7134375</v>
      </c>
      <c r="J213" s="22" t="n">
        <f aca="false">ROUND((TIME(6,0,0)+(F213-Summary!$B$4)-I213)*1440,1)</f>
        <v>56.1</v>
      </c>
      <c r="K213" s="23"/>
      <c r="L213" s="17"/>
    </row>
    <row r="214" customFormat="false" ht="15" hidden="false" customHeight="false" outlineLevel="0" collapsed="false">
      <c r="A214" s="17" t="n">
        <v>213</v>
      </c>
      <c r="B214" s="18" t="s">
        <v>45</v>
      </c>
      <c r="C214" s="17" t="s">
        <v>410</v>
      </c>
      <c r="D214" s="18" t="s">
        <v>17</v>
      </c>
      <c r="E214" s="19" t="n">
        <v>0.000694444444444445</v>
      </c>
      <c r="F214" s="20" t="n">
        <f aca="false">G213</f>
        <v>46296.3530555556</v>
      </c>
      <c r="G214" s="20" t="n">
        <f aca="false">F214+IF(B214="Y",E214,0)</f>
        <v>46296.35375</v>
      </c>
      <c r="H214" s="17" t="s">
        <v>411</v>
      </c>
      <c r="I214" s="21" t="n">
        <v>0.716898148148148</v>
      </c>
      <c r="J214" s="22" t="n">
        <f aca="false">ROUND((TIME(6,0,0)+(F214-Summary!$B$4)-I214)*1440,1)</f>
        <v>56.1</v>
      </c>
      <c r="K214" s="23"/>
      <c r="L214" s="17"/>
    </row>
    <row r="215" customFormat="false" ht="15" hidden="false" customHeight="false" outlineLevel="0" collapsed="false">
      <c r="A215" s="17" t="n">
        <v>214</v>
      </c>
      <c r="B215" s="18" t="s">
        <v>45</v>
      </c>
      <c r="C215" s="17" t="s">
        <v>412</v>
      </c>
      <c r="D215" s="18" t="s">
        <v>15</v>
      </c>
      <c r="E215" s="19" t="n">
        <v>0.000740740740740741</v>
      </c>
      <c r="F215" s="20" t="n">
        <f aca="false">G214</f>
        <v>46296.35375</v>
      </c>
      <c r="G215" s="20" t="n">
        <f aca="false">F215+IF(B215="Y",E215,0)</f>
        <v>46296.3544907407</v>
      </c>
      <c r="H215" s="17" t="s">
        <v>413</v>
      </c>
      <c r="I215" s="21" t="n">
        <v>0.717592592592593</v>
      </c>
      <c r="J215" s="22" t="n">
        <f aca="false">ROUND((TIME(6,0,0)+(F215-Summary!$B$4)-I215)*1440,1)</f>
        <v>56.1</v>
      </c>
      <c r="K215" s="23"/>
      <c r="L215" s="17"/>
    </row>
    <row r="216" customFormat="false" ht="15" hidden="false" customHeight="false" outlineLevel="0" collapsed="false">
      <c r="A216" s="17" t="n">
        <v>215</v>
      </c>
      <c r="B216" s="18" t="s">
        <v>45</v>
      </c>
      <c r="C216" s="17" t="s">
        <v>135</v>
      </c>
      <c r="D216" s="18" t="s">
        <v>18</v>
      </c>
      <c r="E216" s="19" t="n">
        <v>6.94444444444444E-005</v>
      </c>
      <c r="F216" s="20" t="n">
        <f aca="false">G215</f>
        <v>46296.3544907407</v>
      </c>
      <c r="G216" s="20" t="n">
        <f aca="false">F216+IF(B216="Y",E216,0)</f>
        <v>46296.3545601852</v>
      </c>
      <c r="H216" s="17" t="s">
        <v>414</v>
      </c>
      <c r="I216" s="21" t="n">
        <v>0.718333333333333</v>
      </c>
      <c r="J216" s="22" t="n">
        <f aca="false">ROUND((TIME(6,0,0)+(F216-Summary!$B$4)-I216)*1440,1)</f>
        <v>56.1</v>
      </c>
      <c r="K216" s="23"/>
      <c r="L216" s="17"/>
    </row>
    <row r="217" customFormat="false" ht="15" hidden="false" customHeight="false" outlineLevel="0" collapsed="false">
      <c r="A217" s="17" t="n">
        <v>216</v>
      </c>
      <c r="B217" s="18" t="s">
        <v>45</v>
      </c>
      <c r="C217" s="17" t="s">
        <v>415</v>
      </c>
      <c r="D217" s="18" t="s">
        <v>14</v>
      </c>
      <c r="E217" s="19" t="n">
        <v>0.0208333333333333</v>
      </c>
      <c r="F217" s="20" t="n">
        <f aca="false">G216</f>
        <v>46296.3545601852</v>
      </c>
      <c r="G217" s="20" t="n">
        <f aca="false">F217+IF(B217="Y",E217,0)</f>
        <v>46296.3753935185</v>
      </c>
      <c r="H217" s="17" t="s">
        <v>416</v>
      </c>
      <c r="I217" s="21" t="n">
        <v>0.718402777777778</v>
      </c>
      <c r="J217" s="22" t="n">
        <f aca="false">ROUND((TIME(6,0,0)+(F217-Summary!$B$4)-I217)*1440,1)</f>
        <v>56.1</v>
      </c>
      <c r="K217" s="23"/>
      <c r="L217" s="17"/>
    </row>
    <row r="218" customFormat="false" ht="15" hidden="false" customHeight="false" outlineLevel="0" collapsed="false">
      <c r="A218" s="17" t="n">
        <v>217</v>
      </c>
      <c r="B218" s="18" t="s">
        <v>45</v>
      </c>
      <c r="C218" s="17" t="s">
        <v>135</v>
      </c>
      <c r="D218" s="18" t="s">
        <v>18</v>
      </c>
      <c r="E218" s="19" t="n">
        <v>6.94444444444444E-005</v>
      </c>
      <c r="F218" s="20" t="n">
        <f aca="false">G217</f>
        <v>46296.3753935185</v>
      </c>
      <c r="G218" s="20" t="n">
        <f aca="false">F218+IF(B218="Y",E218,0)</f>
        <v>46296.375462963</v>
      </c>
      <c r="H218" s="17" t="s">
        <v>417</v>
      </c>
      <c r="I218" s="21" t="n">
        <v>0.739236111111111</v>
      </c>
      <c r="J218" s="22" t="n">
        <f aca="false">ROUND((TIME(6,0,0)+(F218-Summary!$B$4)-I218)*1440,1)</f>
        <v>56.1</v>
      </c>
      <c r="K218" s="23"/>
      <c r="L218" s="17"/>
    </row>
    <row r="219" customFormat="false" ht="15" hidden="false" customHeight="false" outlineLevel="0" collapsed="false">
      <c r="A219" s="17" t="n">
        <v>218</v>
      </c>
      <c r="B219" s="18" t="s">
        <v>45</v>
      </c>
      <c r="C219" s="17" t="s">
        <v>418</v>
      </c>
      <c r="D219" s="18" t="s">
        <v>15</v>
      </c>
      <c r="E219" s="19" t="n">
        <v>0.00190972222222222</v>
      </c>
      <c r="F219" s="20" t="n">
        <f aca="false">G218</f>
        <v>46296.375462963</v>
      </c>
      <c r="G219" s="20" t="n">
        <f aca="false">F219+IF(B219="Y",E219,0)</f>
        <v>46296.3773726852</v>
      </c>
      <c r="H219" s="17" t="s">
        <v>419</v>
      </c>
      <c r="I219" s="21" t="n">
        <v>0.738958333333333</v>
      </c>
      <c r="J219" s="22" t="n">
        <f aca="false">ROUND((TIME(6,0,0)+(F219-Summary!$B$4)-I219)*1440,1)</f>
        <v>56.6</v>
      </c>
      <c r="K219" s="23"/>
      <c r="L219" s="17" t="s">
        <v>420</v>
      </c>
    </row>
    <row r="220" customFormat="false" ht="15" hidden="false" customHeight="false" outlineLevel="0" collapsed="false">
      <c r="A220" s="17" t="n">
        <v>219</v>
      </c>
      <c r="B220" s="18" t="s">
        <v>45</v>
      </c>
      <c r="C220" s="17" t="s">
        <v>421</v>
      </c>
      <c r="D220" s="18" t="s">
        <v>15</v>
      </c>
      <c r="E220" s="19" t="n">
        <v>0.00121527777777778</v>
      </c>
      <c r="F220" s="20" t="n">
        <f aca="false">G219</f>
        <v>46296.3773726852</v>
      </c>
      <c r="G220" s="20" t="n">
        <f aca="false">F220+IF(B220="Y",E220,0)</f>
        <v>46296.378587963</v>
      </c>
      <c r="H220" s="17" t="s">
        <v>422</v>
      </c>
      <c r="I220" s="21" t="n">
        <v>0.740868055555556</v>
      </c>
      <c r="J220" s="22" t="n">
        <f aca="false">ROUND((TIME(6,0,0)+(F220-Summary!$B$4)-I220)*1440,1)</f>
        <v>56.6</v>
      </c>
      <c r="K220" s="23"/>
      <c r="L220" s="17"/>
    </row>
    <row r="221" customFormat="false" ht="15" hidden="false" customHeight="false" outlineLevel="0" collapsed="false">
      <c r="A221" s="17" t="n">
        <v>220</v>
      </c>
      <c r="B221" s="18" t="s">
        <v>45</v>
      </c>
      <c r="C221" s="17" t="s">
        <v>52</v>
      </c>
      <c r="D221" s="18" t="s">
        <v>19</v>
      </c>
      <c r="E221" s="19" t="n">
        <v>0.000115740740740741</v>
      </c>
      <c r="F221" s="20" t="n">
        <f aca="false">G220</f>
        <v>46296.378587963</v>
      </c>
      <c r="G221" s="20" t="n">
        <f aca="false">F221+IF(B221="Y",E221,0)</f>
        <v>46296.3787037037</v>
      </c>
      <c r="H221" s="17" t="s">
        <v>423</v>
      </c>
      <c r="I221" s="21" t="n">
        <v>0.742083333333333</v>
      </c>
      <c r="J221" s="22" t="n">
        <f aca="false">ROUND((TIME(6,0,0)+(F221-Summary!$B$4)-I221)*1440,1)</f>
        <v>56.6</v>
      </c>
      <c r="K221" s="23"/>
      <c r="L221" s="17"/>
    </row>
    <row r="222" customFormat="false" ht="15" hidden="false" customHeight="false" outlineLevel="0" collapsed="false">
      <c r="A222" s="17" t="n">
        <v>221</v>
      </c>
      <c r="B222" s="18" t="s">
        <v>45</v>
      </c>
      <c r="C222" s="17" t="s">
        <v>424</v>
      </c>
      <c r="D222" s="18" t="s">
        <v>14</v>
      </c>
      <c r="E222" s="19" t="n">
        <v>0.00625</v>
      </c>
      <c r="F222" s="20" t="n">
        <f aca="false">G221</f>
        <v>46296.3787037037</v>
      </c>
      <c r="G222" s="20" t="n">
        <f aca="false">F222+IF(B222="Y",E222,0)</f>
        <v>46296.3849537037</v>
      </c>
      <c r="H222" s="17" t="s">
        <v>425</v>
      </c>
      <c r="I222" s="21" t="n">
        <v>0.742199074074074</v>
      </c>
      <c r="J222" s="22" t="n">
        <f aca="false">ROUND((TIME(6,0,0)+(F222-Summary!$B$4)-I222)*1440,1)</f>
        <v>56.6</v>
      </c>
      <c r="K222" s="23"/>
      <c r="L222" s="17"/>
    </row>
    <row r="223" customFormat="false" ht="15" hidden="false" customHeight="false" outlineLevel="0" collapsed="false">
      <c r="A223" s="17" t="n">
        <v>222</v>
      </c>
      <c r="B223" s="18" t="s">
        <v>45</v>
      </c>
      <c r="C223" s="17" t="s">
        <v>426</v>
      </c>
      <c r="D223" s="18" t="s">
        <v>15</v>
      </c>
      <c r="E223" s="19" t="n">
        <v>0.00144675925925926</v>
      </c>
      <c r="F223" s="20" t="n">
        <f aca="false">G222</f>
        <v>46296.3849537037</v>
      </c>
      <c r="G223" s="20" t="n">
        <f aca="false">F223+IF(B223="Y",E223,0)</f>
        <v>46296.386400463</v>
      </c>
      <c r="H223" s="17" t="s">
        <v>427</v>
      </c>
      <c r="I223" s="21" t="n">
        <v>0.748449074074074</v>
      </c>
      <c r="J223" s="22" t="n">
        <f aca="false">ROUND((TIME(6,0,0)+(F223-Summary!$B$4)-I223)*1440,1)</f>
        <v>56.6</v>
      </c>
      <c r="K223" s="23"/>
      <c r="L223" s="17"/>
    </row>
    <row r="224" customFormat="false" ht="15" hidden="false" customHeight="false" outlineLevel="0" collapsed="false">
      <c r="A224" s="17" t="n">
        <v>223</v>
      </c>
      <c r="B224" s="18" t="s">
        <v>45</v>
      </c>
      <c r="C224" s="17" t="s">
        <v>428</v>
      </c>
      <c r="D224" s="18" t="s">
        <v>15</v>
      </c>
      <c r="E224" s="19" t="n">
        <v>0.00087962962962963</v>
      </c>
      <c r="F224" s="20" t="n">
        <f aca="false">G223</f>
        <v>46296.386400463</v>
      </c>
      <c r="G224" s="20" t="n">
        <f aca="false">F224+IF(B224="Y",E224,0)</f>
        <v>46296.3872800926</v>
      </c>
      <c r="H224" s="17" t="s">
        <v>429</v>
      </c>
      <c r="I224" s="21" t="n">
        <v>0.749861111111111</v>
      </c>
      <c r="J224" s="22" t="n">
        <f aca="false">ROUND((TIME(6,0,0)+(F224-Summary!$B$4)-I224)*1440,1)</f>
        <v>56.6</v>
      </c>
      <c r="K224" s="23"/>
      <c r="L224" s="17" t="s">
        <v>420</v>
      </c>
    </row>
    <row r="225" customFormat="false" ht="15" hidden="false" customHeight="false" outlineLevel="0" collapsed="false">
      <c r="A225" s="17" t="n">
        <v>224</v>
      </c>
      <c r="B225" s="18" t="s">
        <v>45</v>
      </c>
      <c r="C225" s="17" t="s">
        <v>52</v>
      </c>
      <c r="D225" s="18" t="s">
        <v>19</v>
      </c>
      <c r="E225" s="19" t="n">
        <v>0.000115740740740741</v>
      </c>
      <c r="F225" s="20" t="n">
        <f aca="false">G224</f>
        <v>46296.3872800926</v>
      </c>
      <c r="G225" s="20" t="n">
        <f aca="false">F225+IF(B225="Y",E225,0)</f>
        <v>46296.3873958333</v>
      </c>
      <c r="H225" s="17" t="s">
        <v>430</v>
      </c>
      <c r="I225" s="21" t="n">
        <v>0.750740740740741</v>
      </c>
      <c r="J225" s="22" t="n">
        <f aca="false">ROUND((TIME(6,0,0)+(F225-Summary!$B$4)-I225)*1440,1)</f>
        <v>56.6</v>
      </c>
      <c r="K225" s="23"/>
      <c r="L225" s="17"/>
    </row>
    <row r="227" customFormat="false" ht="15" hidden="false" customHeight="false" outlineLevel="0" collapsed="false">
      <c r="A227" s="2" t="s">
        <v>431</v>
      </c>
    </row>
    <row r="228" customFormat="false" ht="15" hidden="false" customHeight="false" outlineLevel="0" collapsed="false">
      <c r="A228" s="2" t="s">
        <v>432</v>
      </c>
    </row>
  </sheetData>
  <conditionalFormatting sqref="A2:L225">
    <cfRule type="expression" priority="2" aboveAverage="0" equalAverage="0" bottom="0" percent="0" rank="0" text="" dxfId="0">
      <formula>$B2="N"</formula>
    </cfRule>
  </conditionalFormatting>
  <conditionalFormatting sqref="J2:J225">
    <cfRule type="expression" priority="3" aboveAverage="0" equalAverage="0" bottom="0" percent="0" rank="0" text="" dxfId="1">
      <formula>ABS($J2)&gt;=5</formula>
    </cfRule>
  </conditionalFormatting>
  <dataValidations count="2">
    <dataValidation allowBlank="false" errorStyle="stop" operator="between" showDropDown="false" showErrorMessage="false" showInputMessage="false" sqref="B2:B225" type="list">
      <formula1>"Y,N"</formula1>
      <formula2>0</formula2>
    </dataValidation>
    <dataValidation allowBlank="false" errorStyle="stop" operator="between" showDropDown="false" showErrorMessage="false" showInputMessage="false" sqref="D2:D225" type="list">
      <formula1>"Programme,Short,Commercial,Promo,Sting,Montage"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5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6" t="s">
        <v>433</v>
      </c>
      <c r="B1" s="16" t="s">
        <v>34</v>
      </c>
      <c r="C1" s="16" t="s">
        <v>36</v>
      </c>
      <c r="D1" s="16" t="s">
        <v>10</v>
      </c>
      <c r="E1" s="16" t="s">
        <v>37</v>
      </c>
      <c r="F1" s="16" t="s">
        <v>38</v>
      </c>
      <c r="G1" s="16" t="s">
        <v>39</v>
      </c>
      <c r="H1" s="16" t="s">
        <v>434</v>
      </c>
      <c r="I1" s="16" t="s">
        <v>435</v>
      </c>
    </row>
    <row r="2" customFormat="false" ht="15" hidden="false" customHeight="false" outlineLevel="0" collapsed="false">
      <c r="A2" s="24" t="n">
        <f aca="false">INT((ROW()-2)/Summary!$B$8)+1</f>
        <v>1</v>
      </c>
      <c r="B2" s="24" t="n">
        <f aca="false">MOD(ROW()-2,Summary!$B$8)+1</f>
        <v>1</v>
      </c>
      <c r="C2" s="24" t="str">
        <f aca="false">INDEX('Running Order'!$C$2:$C$225,B2)</f>
        <v>ORIGINAL SHOWS UPDATED</v>
      </c>
      <c r="D2" s="24" t="str">
        <f aca="false">INDEX('Running Order'!$D$2:$D$225,B2)</f>
        <v>Programme</v>
      </c>
      <c r="E2" s="5" t="n">
        <f aca="false">IF(INDEX('Running Order'!$B$2:$B$225,B2)="Y",INDEX('Running Order'!$E$2:$E$225,B2),0)</f>
        <v>0.00296296296296296</v>
      </c>
      <c r="F2" s="6" t="n">
        <f aca="false">(A2-1)*Summary!$B$5+INDEX('Running Order'!$F$2:$F$225,B2)</f>
        <v>46295.8472222222</v>
      </c>
      <c r="G2" s="6" t="n">
        <f aca="false">F2+E2</f>
        <v>46295.8501851852</v>
      </c>
      <c r="H2" s="24" t="str">
        <f aca="false">IF(INDEX('Running Order'!$B$2:$B$225,B2)="Y","on air","dropped")</f>
        <v>on air</v>
      </c>
      <c r="I2" s="24" t="str">
        <f aca="false">IF(F2&lt;Summary!$B$4+1,"yes","")</f>
        <v>yes</v>
      </c>
    </row>
    <row r="3" customFormat="false" ht="15" hidden="false" customHeight="false" outlineLevel="0" collapsed="false">
      <c r="A3" s="24" t="n">
        <f aca="false">INT((ROW()-2)/Summary!$B$8)+1</f>
        <v>1</v>
      </c>
      <c r="B3" s="24" t="n">
        <f aca="false">MOD(ROW()-2,Summary!$B$8)+1</f>
        <v>2</v>
      </c>
      <c r="C3" s="24" t="str">
        <f aca="false">INDEX('Running Order'!$C$2:$C$225,B3)</f>
        <v>KIVO HOT PEPPER COMMERCIAL</v>
      </c>
      <c r="D3" s="24" t="str">
        <f aca="false">INDEX('Running Order'!$D$2:$D$225,B3)</f>
        <v>Commercial</v>
      </c>
      <c r="E3" s="5" t="n">
        <f aca="false">IF(INDEX('Running Order'!$B$2:$B$225,B3)="Y",INDEX('Running Order'!$E$2:$E$225,B3),0)</f>
        <v>0.000520833333333333</v>
      </c>
      <c r="F3" s="6" t="n">
        <f aca="false">(A3-1)*Summary!$B$5+INDEX('Running Order'!$F$2:$F$225,B3)</f>
        <v>46295.8501851852</v>
      </c>
      <c r="G3" s="6" t="n">
        <f aca="false">F3+E3</f>
        <v>46295.8507060185</v>
      </c>
      <c r="H3" s="24" t="str">
        <f aca="false">IF(INDEX('Running Order'!$B$2:$B$225,B3)="Y","on air","dropped")</f>
        <v>on air</v>
      </c>
      <c r="I3" s="24" t="str">
        <f aca="false">IF(F3&lt;Summary!$B$4+1,"yes","")</f>
        <v>yes</v>
      </c>
    </row>
    <row r="4" customFormat="false" ht="15" hidden="false" customHeight="false" outlineLevel="0" collapsed="false">
      <c r="A4" s="24" t="n">
        <f aca="false">INT((ROW()-2)/Summary!$B$8)+1</f>
        <v>1</v>
      </c>
      <c r="B4" s="24" t="n">
        <f aca="false">MOD(ROW()-2,Summary!$B$8)+1</f>
        <v>3</v>
      </c>
      <c r="C4" s="24" t="str">
        <f aca="false">INDEX('Running Order'!$C$2:$C$225,B4)</f>
        <v>COLGATE TOOTHPASTE</v>
      </c>
      <c r="D4" s="24" t="str">
        <f aca="false">INDEX('Running Order'!$D$2:$D$225,B4)</f>
        <v>Commercial</v>
      </c>
      <c r="E4" s="5" t="n">
        <f aca="false">IF(INDEX('Running Order'!$B$2:$B$225,B4)="Y",INDEX('Running Order'!$E$2:$E$225,B4),0)</f>
        <v>0.000347222222222222</v>
      </c>
      <c r="F4" s="6" t="n">
        <f aca="false">(A4-1)*Summary!$B$5+INDEX('Running Order'!$F$2:$F$225,B4)</f>
        <v>46295.8507060185</v>
      </c>
      <c r="G4" s="6" t="n">
        <f aca="false">F4+E4</f>
        <v>46295.8510532407</v>
      </c>
      <c r="H4" s="24" t="str">
        <f aca="false">IF(INDEX('Running Order'!$B$2:$B$225,B4)="Y","on air","dropped")</f>
        <v>on air</v>
      </c>
      <c r="I4" s="24" t="str">
        <f aca="false">IF(F4&lt;Summary!$B$4+1,"yes","")</f>
        <v>yes</v>
      </c>
    </row>
    <row r="5" customFormat="false" ht="15" hidden="false" customHeight="false" outlineLevel="0" collapsed="false">
      <c r="A5" s="24" t="n">
        <f aca="false">INT((ROW()-2)/Summary!$B$8)+1</f>
        <v>1</v>
      </c>
      <c r="B5" s="24" t="n">
        <f aca="false">MOD(ROW()-2,Summary!$B$8)+1</f>
        <v>4</v>
      </c>
      <c r="C5" s="24" t="str">
        <f aca="false">INDEX('Running Order'!$C$2:$C$225,B5)</f>
        <v>CHANNEL MONTAGE</v>
      </c>
      <c r="D5" s="24" t="str">
        <f aca="false">INDEX('Running Order'!$D$2:$D$225,B5)</f>
        <v>Montage</v>
      </c>
      <c r="E5" s="5" t="n">
        <f aca="false">IF(INDEX('Running Order'!$B$2:$B$225,B5)="Y",INDEX('Running Order'!$E$2:$E$225,B5),0)</f>
        <v>0.000115740740740741</v>
      </c>
      <c r="F5" s="6" t="n">
        <f aca="false">(A5-1)*Summary!$B$5+INDEX('Running Order'!$F$2:$F$225,B5)</f>
        <v>46295.8510532407</v>
      </c>
      <c r="G5" s="6" t="n">
        <f aca="false">F5+E5</f>
        <v>46295.8511689815</v>
      </c>
      <c r="H5" s="24" t="str">
        <f aca="false">IF(INDEX('Running Order'!$B$2:$B$225,B5)="Y","on air","dropped")</f>
        <v>on air</v>
      </c>
      <c r="I5" s="24" t="str">
        <f aca="false">IF(F5&lt;Summary!$B$4+1,"yes","")</f>
        <v>yes</v>
      </c>
    </row>
    <row r="6" customFormat="false" ht="15" hidden="false" customHeight="false" outlineLevel="0" collapsed="false">
      <c r="A6" s="24" t="n">
        <f aca="false">INT((ROW()-2)/Summary!$B$8)+1</f>
        <v>1</v>
      </c>
      <c r="B6" s="24" t="n">
        <f aca="false">MOD(ROW()-2,Summary!$B$8)+1</f>
        <v>5</v>
      </c>
      <c r="C6" s="24" t="str">
        <f aca="false">INDEX('Running Order'!$C$2:$C$225,B6)</f>
        <v>SIX DELICIOUS STEPS OF ENJOYING A PLATE OF INDOMIE</v>
      </c>
      <c r="D6" s="24" t="str">
        <f aca="false">INDEX('Running Order'!$D$2:$D$225,B6)</f>
        <v>Short</v>
      </c>
      <c r="E6" s="5" t="n">
        <f aca="false">IF(INDEX('Running Order'!$B$2:$B$225,B6)="Y",INDEX('Running Order'!$E$2:$E$225,B6),0)</f>
        <v>0.00068287037037037</v>
      </c>
      <c r="F6" s="6" t="n">
        <f aca="false">(A6-1)*Summary!$B$5+INDEX('Running Order'!$F$2:$F$225,B6)</f>
        <v>46295.8511689815</v>
      </c>
      <c r="G6" s="6" t="n">
        <f aca="false">F6+E6</f>
        <v>46295.8518518519</v>
      </c>
      <c r="H6" s="24" t="str">
        <f aca="false">IF(INDEX('Running Order'!$B$2:$B$225,B6)="Y","on air","dropped")</f>
        <v>on air</v>
      </c>
      <c r="I6" s="24" t="str">
        <f aca="false">IF(F6&lt;Summary!$B$4+1,"yes","")</f>
        <v>yes</v>
      </c>
    </row>
    <row r="7" customFormat="false" ht="15" hidden="false" customHeight="false" outlineLevel="0" collapsed="false">
      <c r="A7" s="24" t="n">
        <f aca="false">INT((ROW()-2)/Summary!$B$8)+1</f>
        <v>1</v>
      </c>
      <c r="B7" s="24" t="n">
        <f aca="false">MOD(ROW()-2,Summary!$B$8)+1</f>
        <v>6</v>
      </c>
      <c r="C7" s="24" t="str">
        <f aca="false">INDEX('Running Order'!$C$2:$C$225,B7)</f>
        <v>GREEN FIELD AFRICA`COMING SOON</v>
      </c>
      <c r="D7" s="24" t="str">
        <f aca="false">INDEX('Running Order'!$D$2:$D$225,B7)</f>
        <v>Promo</v>
      </c>
      <c r="E7" s="5" t="n">
        <f aca="false">IF(INDEX('Running Order'!$B$2:$B$225,B7)="Y",INDEX('Running Order'!$E$2:$E$225,B7),0)</f>
        <v>0.000393518518518519</v>
      </c>
      <c r="F7" s="6" t="n">
        <f aca="false">(A7-1)*Summary!$B$5+INDEX('Running Order'!$F$2:$F$225,B7)</f>
        <v>46295.8518518519</v>
      </c>
      <c r="G7" s="6" t="n">
        <f aca="false">F7+E7</f>
        <v>46295.8522453704</v>
      </c>
      <c r="H7" s="24" t="str">
        <f aca="false">IF(INDEX('Running Order'!$B$2:$B$225,B7)="Y","on air","dropped")</f>
        <v>on air</v>
      </c>
      <c r="I7" s="24" t="str">
        <f aca="false">IF(F7&lt;Summary!$B$4+1,"yes","")</f>
        <v>yes</v>
      </c>
    </row>
    <row r="8" customFormat="false" ht="15" hidden="false" customHeight="false" outlineLevel="0" collapsed="false">
      <c r="A8" s="24" t="n">
        <f aca="false">INT((ROW()-2)/Summary!$B$8)+1</f>
        <v>1</v>
      </c>
      <c r="B8" s="24" t="n">
        <f aca="false">MOD(ROW()-2,Summary!$B$8)+1</f>
        <v>7</v>
      </c>
      <c r="C8" s="24" t="str">
        <f aca="false">INDEX('Running Order'!$C$2:$C$225,B8)</f>
        <v>ADESUA AND VIVA</v>
      </c>
      <c r="D8" s="24" t="str">
        <f aca="false">INDEX('Running Order'!$D$2:$D$225,B8)</f>
        <v>Commercial</v>
      </c>
      <c r="E8" s="5" t="n">
        <f aca="false">IF(INDEX('Running Order'!$B$2:$B$225,B8)="Y",INDEX('Running Order'!$E$2:$E$225,B8),0)</f>
        <v>0.00114583333333333</v>
      </c>
      <c r="F8" s="6" t="n">
        <f aca="false">(A8-1)*Summary!$B$5+INDEX('Running Order'!$F$2:$F$225,B8)</f>
        <v>46295.8522453704</v>
      </c>
      <c r="G8" s="6" t="n">
        <f aca="false">F8+E8</f>
        <v>46295.8533912037</v>
      </c>
      <c r="H8" s="24" t="str">
        <f aca="false">IF(INDEX('Running Order'!$B$2:$B$225,B8)="Y","on air","dropped")</f>
        <v>on air</v>
      </c>
      <c r="I8" s="24" t="str">
        <f aca="false">IF(F8&lt;Summary!$B$4+1,"yes","")</f>
        <v>yes</v>
      </c>
    </row>
    <row r="9" customFormat="false" ht="15" hidden="false" customHeight="false" outlineLevel="0" collapsed="false">
      <c r="A9" s="24" t="n">
        <f aca="false">INT((ROW()-2)/Summary!$B$8)+1</f>
        <v>1</v>
      </c>
      <c r="B9" s="24" t="n">
        <f aca="false">MOD(ROW()-2,Summary!$B$8)+1</f>
        <v>8</v>
      </c>
      <c r="C9" s="24" t="str">
        <f aca="false">INDEX('Running Order'!$C$2:$C$225,B9)</f>
        <v>TATTASE TV COFFEE STING</v>
      </c>
      <c r="D9" s="24" t="str">
        <f aca="false">INDEX('Running Order'!$D$2:$D$225,B9)</f>
        <v>Sting</v>
      </c>
      <c r="E9" s="5" t="n">
        <f aca="false">IF(INDEX('Running Order'!$B$2:$B$225,B9)="Y",INDEX('Running Order'!$E$2:$E$225,B9),0)</f>
        <v>9.25925925925926E-005</v>
      </c>
      <c r="F9" s="6" t="n">
        <f aca="false">(A9-1)*Summary!$B$5+INDEX('Running Order'!$F$2:$F$225,B9)</f>
        <v>46295.8533912037</v>
      </c>
      <c r="G9" s="6" t="n">
        <f aca="false">F9+E9</f>
        <v>46295.8534837963</v>
      </c>
      <c r="H9" s="24" t="str">
        <f aca="false">IF(INDEX('Running Order'!$B$2:$B$225,B9)="Y","on air","dropped")</f>
        <v>on air</v>
      </c>
      <c r="I9" s="24" t="str">
        <f aca="false">IF(F9&lt;Summary!$B$4+1,"yes","")</f>
        <v>yes</v>
      </c>
    </row>
    <row r="10" customFormat="false" ht="15" hidden="false" customHeight="false" outlineLevel="0" collapsed="false">
      <c r="A10" s="24" t="n">
        <f aca="false">INT((ROW()-2)/Summary!$B$8)+1</f>
        <v>1</v>
      </c>
      <c r="B10" s="24" t="n">
        <f aca="false">MOD(ROW()-2,Summary!$B$8)+1</f>
        <v>9</v>
      </c>
      <c r="C10" s="24" t="str">
        <f aca="false">INDEX('Running Order'!$C$2:$C$225,B10)</f>
        <v>TASTE OF GHANA</v>
      </c>
      <c r="D10" s="24" t="str">
        <f aca="false">INDEX('Running Order'!$D$2:$D$225,B10)</f>
        <v>Short</v>
      </c>
      <c r="E10" s="5" t="n">
        <f aca="false">IF(INDEX('Running Order'!$B$2:$B$225,B10)="Y",INDEX('Running Order'!$E$2:$E$225,B10),0)</f>
        <v>0.000300925925925926</v>
      </c>
      <c r="F10" s="6" t="n">
        <f aca="false">(A10-1)*Summary!$B$5+INDEX('Running Order'!$F$2:$F$225,B10)</f>
        <v>46295.8534837963</v>
      </c>
      <c r="G10" s="6" t="n">
        <f aca="false">F10+E10</f>
        <v>46295.8537847222</v>
      </c>
      <c r="H10" s="24" t="str">
        <f aca="false">IF(INDEX('Running Order'!$B$2:$B$225,B10)="Y","on air","dropped")</f>
        <v>on air</v>
      </c>
      <c r="I10" s="24" t="str">
        <f aca="false">IF(F10&lt;Summary!$B$4+1,"yes","")</f>
        <v>yes</v>
      </c>
    </row>
    <row r="11" customFormat="false" ht="15" hidden="false" customHeight="false" outlineLevel="0" collapsed="false">
      <c r="A11" s="24" t="n">
        <f aca="false">INT((ROW()-2)/Summary!$B$8)+1</f>
        <v>1</v>
      </c>
      <c r="B11" s="24" t="n">
        <f aca="false">MOD(ROW()-2,Summary!$B$8)+1</f>
        <v>10</v>
      </c>
      <c r="C11" s="24" t="str">
        <f aca="false">INDEX('Running Order'!$C$2:$C$225,B11)</f>
        <v>BUKAS AND JOINT</v>
      </c>
      <c r="D11" s="24" t="str">
        <f aca="false">INDEX('Running Order'!$D$2:$D$225,B11)</f>
        <v>Short</v>
      </c>
      <c r="E11" s="5" t="n">
        <f aca="false">IF(INDEX('Running Order'!$B$2:$B$225,B11)="Y",INDEX('Running Order'!$E$2:$E$225,B11),0)</f>
        <v>0.00146990740740741</v>
      </c>
      <c r="F11" s="6" t="n">
        <f aca="false">(A11-1)*Summary!$B$5+INDEX('Running Order'!$F$2:$F$225,B11)</f>
        <v>46295.8537847222</v>
      </c>
      <c r="G11" s="6" t="n">
        <f aca="false">F11+E11</f>
        <v>46295.8552546296</v>
      </c>
      <c r="H11" s="24" t="str">
        <f aca="false">IF(INDEX('Running Order'!$B$2:$B$225,B11)="Y","on air","dropped")</f>
        <v>on air</v>
      </c>
      <c r="I11" s="24" t="str">
        <f aca="false">IF(F11&lt;Summary!$B$4+1,"yes","")</f>
        <v>yes</v>
      </c>
    </row>
    <row r="12" customFormat="false" ht="15" hidden="false" customHeight="false" outlineLevel="0" collapsed="false">
      <c r="A12" s="24" t="n">
        <f aca="false">INT((ROW()-2)/Summary!$B$8)+1</f>
        <v>1</v>
      </c>
      <c r="B12" s="24" t="n">
        <f aca="false">MOD(ROW()-2,Summary!$B$8)+1</f>
        <v>11</v>
      </c>
      <c r="C12" s="24" t="str">
        <f aca="false">INDEX('Running Order'!$C$2:$C$225,B12)</f>
        <v>Tattasetv sting</v>
      </c>
      <c r="D12" s="24" t="str">
        <f aca="false">INDEX('Running Order'!$D$2:$D$225,B12)</f>
        <v>Sting</v>
      </c>
      <c r="E12" s="5" t="n">
        <f aca="false">IF(INDEX('Running Order'!$B$2:$B$225,B12)="Y",INDEX('Running Order'!$E$2:$E$225,B12),0)</f>
        <v>6.94444444444444E-005</v>
      </c>
      <c r="F12" s="6" t="n">
        <f aca="false">(A12-1)*Summary!$B$5+INDEX('Running Order'!$F$2:$F$225,B12)</f>
        <v>46295.8552546296</v>
      </c>
      <c r="G12" s="6" t="n">
        <f aca="false">F12+E12</f>
        <v>46295.8553240741</v>
      </c>
      <c r="H12" s="24" t="str">
        <f aca="false">IF(INDEX('Running Order'!$B$2:$B$225,B12)="Y","on air","dropped")</f>
        <v>on air</v>
      </c>
      <c r="I12" s="24" t="str">
        <f aca="false">IF(F12&lt;Summary!$B$4+1,"yes","")</f>
        <v>yes</v>
      </c>
    </row>
    <row r="13" customFormat="false" ht="15" hidden="false" customHeight="false" outlineLevel="0" collapsed="false">
      <c r="A13" s="24" t="n">
        <f aca="false">INT((ROW()-2)/Summary!$B$8)+1</f>
        <v>1</v>
      </c>
      <c r="B13" s="24" t="n">
        <f aca="false">MOD(ROW()-2,Summary!$B$8)+1</f>
        <v>12</v>
      </c>
      <c r="C13" s="24" t="str">
        <f aca="false">INDEX('Running Order'!$C$2:$C$225,B13)</f>
        <v>10 FOODS TO CUT DOWN ON FOR A HEALTHY WEIGHT</v>
      </c>
      <c r="D13" s="24" t="str">
        <f aca="false">INDEX('Running Order'!$D$2:$D$225,B13)</f>
        <v>Programme</v>
      </c>
      <c r="E13" s="5" t="n">
        <f aca="false">IF(INDEX('Running Order'!$B$2:$B$225,B13)="Y",INDEX('Running Order'!$E$2:$E$225,B13),0)</f>
        <v>0.0162615740740741</v>
      </c>
      <c r="F13" s="6" t="n">
        <f aca="false">(A13-1)*Summary!$B$5+INDEX('Running Order'!$F$2:$F$225,B13)</f>
        <v>46295.8553240741</v>
      </c>
      <c r="G13" s="6" t="n">
        <f aca="false">F13+E13</f>
        <v>46295.8715856482</v>
      </c>
      <c r="H13" s="24" t="str">
        <f aca="false">IF(INDEX('Running Order'!$B$2:$B$225,B13)="Y","on air","dropped")</f>
        <v>on air</v>
      </c>
      <c r="I13" s="24" t="str">
        <f aca="false">IF(F13&lt;Summary!$B$4+1,"yes","")</f>
        <v>yes</v>
      </c>
    </row>
    <row r="14" customFormat="false" ht="15" hidden="false" customHeight="false" outlineLevel="0" collapsed="false">
      <c r="A14" s="24" t="n">
        <f aca="false">INT((ROW()-2)/Summary!$B$8)+1</f>
        <v>1</v>
      </c>
      <c r="B14" s="24" t="n">
        <f aca="false">MOD(ROW()-2,Summary!$B$8)+1</f>
        <v>13</v>
      </c>
      <c r="C14" s="24" t="str">
        <f aca="false">INDEX('Running Order'!$C$2:$C$225,B14)</f>
        <v>CLOSE UP FOR TV COMMERCIALS</v>
      </c>
      <c r="D14" s="24" t="str">
        <f aca="false">INDEX('Running Order'!$D$2:$D$225,B14)</f>
        <v>Commercial</v>
      </c>
      <c r="E14" s="5" t="n">
        <f aca="false">IF(INDEX('Running Order'!$B$2:$B$225,B14)="Y",INDEX('Running Order'!$E$2:$E$225,B14),0)</f>
        <v>0.000347222222222222</v>
      </c>
      <c r="F14" s="6" t="n">
        <f aca="false">(A14-1)*Summary!$B$5+INDEX('Running Order'!$F$2:$F$225,B14)</f>
        <v>46295.8715856482</v>
      </c>
      <c r="G14" s="6" t="n">
        <f aca="false">F14+E14</f>
        <v>46295.8719328704</v>
      </c>
      <c r="H14" s="24" t="str">
        <f aca="false">IF(INDEX('Running Order'!$B$2:$B$225,B14)="Y","on air","dropped")</f>
        <v>on air</v>
      </c>
      <c r="I14" s="24" t="str">
        <f aca="false">IF(F14&lt;Summary!$B$4+1,"yes","")</f>
        <v>yes</v>
      </c>
    </row>
    <row r="15" customFormat="false" ht="15" hidden="false" customHeight="false" outlineLevel="0" collapsed="false">
      <c r="A15" s="24" t="n">
        <f aca="false">INT((ROW()-2)/Summary!$B$8)+1</f>
        <v>1</v>
      </c>
      <c r="B15" s="24" t="n">
        <f aca="false">MOD(ROW()-2,Summary!$B$8)+1</f>
        <v>14</v>
      </c>
      <c r="C15" s="24" t="str">
        <f aca="false">INDEX('Running Order'!$C$2:$C$225,B15)</f>
        <v>KNOR GOOD JOLLOF</v>
      </c>
      <c r="D15" s="24" t="str">
        <f aca="false">INDEX('Running Order'!$D$2:$D$225,B15)</f>
        <v>Short</v>
      </c>
      <c r="E15" s="5" t="n">
        <f aca="false">IF(INDEX('Running Order'!$B$2:$B$225,B15)="Y",INDEX('Running Order'!$E$2:$E$225,B15),0)</f>
        <v>0.000590277777777778</v>
      </c>
      <c r="F15" s="6" t="n">
        <f aca="false">(A15-1)*Summary!$B$5+INDEX('Running Order'!$F$2:$F$225,B15)</f>
        <v>46295.8719328704</v>
      </c>
      <c r="G15" s="6" t="n">
        <f aca="false">F15+E15</f>
        <v>46295.8725231482</v>
      </c>
      <c r="H15" s="24" t="str">
        <f aca="false">IF(INDEX('Running Order'!$B$2:$B$225,B15)="Y","on air","dropped")</f>
        <v>on air</v>
      </c>
      <c r="I15" s="24" t="str">
        <f aca="false">IF(F15&lt;Summary!$B$4+1,"yes","")</f>
        <v>yes</v>
      </c>
    </row>
    <row r="16" customFormat="false" ht="15" hidden="false" customHeight="false" outlineLevel="0" collapsed="false">
      <c r="A16" s="24" t="n">
        <f aca="false">INT((ROW()-2)/Summary!$B$8)+1</f>
        <v>1</v>
      </c>
      <c r="B16" s="24" t="n">
        <f aca="false">MOD(ROW()-2,Summary!$B$8)+1</f>
        <v>15</v>
      </c>
      <c r="C16" s="24" t="str">
        <f aca="false">INDEX('Running Order'!$C$2:$C$225,B16)</f>
        <v>CHANNEL MONTAGE</v>
      </c>
      <c r="D16" s="24" t="str">
        <f aca="false">INDEX('Running Order'!$D$2:$D$225,B16)</f>
        <v>Montage</v>
      </c>
      <c r="E16" s="5" t="n">
        <f aca="false">IF(INDEX('Running Order'!$B$2:$B$225,B16)="Y",INDEX('Running Order'!$E$2:$E$225,B16),0)</f>
        <v>0.000115740740740741</v>
      </c>
      <c r="F16" s="6" t="n">
        <f aca="false">(A16-1)*Summary!$B$5+INDEX('Running Order'!$F$2:$F$225,B16)</f>
        <v>46295.8725231482</v>
      </c>
      <c r="G16" s="6" t="n">
        <f aca="false">F16+E16</f>
        <v>46295.8726388889</v>
      </c>
      <c r="H16" s="24" t="str">
        <f aca="false">IF(INDEX('Running Order'!$B$2:$B$225,B16)="Y","on air","dropped")</f>
        <v>on air</v>
      </c>
      <c r="I16" s="24" t="str">
        <f aca="false">IF(F16&lt;Summary!$B$4+1,"yes","")</f>
        <v>yes</v>
      </c>
    </row>
    <row r="17" customFormat="false" ht="15" hidden="false" customHeight="false" outlineLevel="0" collapsed="false">
      <c r="A17" s="24" t="n">
        <f aca="false">INT((ROW()-2)/Summary!$B$8)+1</f>
        <v>1</v>
      </c>
      <c r="B17" s="24" t="n">
        <f aca="false">MOD(ROW()-2,Summary!$B$8)+1</f>
        <v>16</v>
      </c>
      <c r="C17" s="24" t="str">
        <f aca="false">INDEX('Running Order'!$C$2:$C$225,B17)</f>
        <v>BREAKFAST AFRICA</v>
      </c>
      <c r="D17" s="24" t="str">
        <f aca="false">INDEX('Running Order'!$D$2:$D$225,B17)</f>
        <v>Short</v>
      </c>
      <c r="E17" s="5" t="n">
        <f aca="false">IF(INDEX('Running Order'!$B$2:$B$225,B17)="Y",INDEX('Running Order'!$E$2:$E$225,B17),0)</f>
        <v>0.000439814814814815</v>
      </c>
      <c r="F17" s="6" t="n">
        <f aca="false">(A17-1)*Summary!$B$5+INDEX('Running Order'!$F$2:$F$225,B17)</f>
        <v>46295.8726388889</v>
      </c>
      <c r="G17" s="6" t="n">
        <f aca="false">F17+E17</f>
        <v>46295.8730787037</v>
      </c>
      <c r="H17" s="24" t="str">
        <f aca="false">IF(INDEX('Running Order'!$B$2:$B$225,B17)="Y","on air","dropped")</f>
        <v>on air</v>
      </c>
      <c r="I17" s="24" t="str">
        <f aca="false">IF(F17&lt;Summary!$B$4+1,"yes","")</f>
        <v>yes</v>
      </c>
    </row>
    <row r="18" customFormat="false" ht="15" hidden="false" customHeight="false" outlineLevel="0" collapsed="false">
      <c r="A18" s="24" t="n">
        <f aca="false">INT((ROW()-2)/Summary!$B$8)+1</f>
        <v>1</v>
      </c>
      <c r="B18" s="24" t="n">
        <f aca="false">MOD(ROW()-2,Summary!$B$8)+1</f>
        <v>17</v>
      </c>
      <c r="C18" s="24" t="str">
        <f aca="false">INDEX('Running Order'!$C$2:$C$225,B18)</f>
        <v>FOOD TOURS</v>
      </c>
      <c r="D18" s="24" t="str">
        <f aca="false">INDEX('Running Order'!$D$2:$D$225,B18)</f>
        <v>Short</v>
      </c>
      <c r="E18" s="5" t="n">
        <f aca="false">IF(INDEX('Running Order'!$B$2:$B$225,B18)="Y",INDEX('Running Order'!$E$2:$E$225,B18),0)</f>
        <v>0.000381944444444445</v>
      </c>
      <c r="F18" s="6" t="n">
        <f aca="false">(A18-1)*Summary!$B$5+INDEX('Running Order'!$F$2:$F$225,B18)</f>
        <v>46295.8730787037</v>
      </c>
      <c r="G18" s="6" t="n">
        <f aca="false">F18+E18</f>
        <v>46295.8734606481</v>
      </c>
      <c r="H18" s="24" t="str">
        <f aca="false">IF(INDEX('Running Order'!$B$2:$B$225,B18)="Y","on air","dropped")</f>
        <v>on air</v>
      </c>
      <c r="I18" s="24" t="str">
        <f aca="false">IF(F18&lt;Summary!$B$4+1,"yes","")</f>
        <v>yes</v>
      </c>
    </row>
    <row r="19" customFormat="false" ht="15" hidden="false" customHeight="false" outlineLevel="0" collapsed="false">
      <c r="A19" s="24" t="n">
        <f aca="false">INT((ROW()-2)/Summary!$B$8)+1</f>
        <v>1</v>
      </c>
      <c r="B19" s="24" t="n">
        <f aca="false">MOD(ROW()-2,Summary!$B$8)+1</f>
        <v>18</v>
      </c>
      <c r="C19" s="24" t="str">
        <f aca="false">INDEX('Running Order'!$C$2:$C$225,B19)</f>
        <v>FOOD FARM FOR TV</v>
      </c>
      <c r="D19" s="24" t="str">
        <f aca="false">INDEX('Running Order'!$D$2:$D$225,B19)</f>
        <v>Short</v>
      </c>
      <c r="E19" s="5" t="n">
        <f aca="false">IF(INDEX('Running Order'!$B$2:$B$225,B19)="Y",INDEX('Running Order'!$E$2:$E$225,B19),0)</f>
        <v>0.000636574074074074</v>
      </c>
      <c r="F19" s="6" t="n">
        <f aca="false">(A19-1)*Summary!$B$5+INDEX('Running Order'!$F$2:$F$225,B19)</f>
        <v>46295.8734606481</v>
      </c>
      <c r="G19" s="6" t="n">
        <f aca="false">F19+E19</f>
        <v>46295.8740972222</v>
      </c>
      <c r="H19" s="24" t="str">
        <f aca="false">IF(INDEX('Running Order'!$B$2:$B$225,B19)="Y","on air","dropped")</f>
        <v>on air</v>
      </c>
      <c r="I19" s="24" t="str">
        <f aca="false">IF(F19&lt;Summary!$B$4+1,"yes","")</f>
        <v>yes</v>
      </c>
    </row>
    <row r="20" customFormat="false" ht="15" hidden="false" customHeight="false" outlineLevel="0" collapsed="false">
      <c r="A20" s="24" t="n">
        <f aca="false">INT((ROW()-2)/Summary!$B$8)+1</f>
        <v>1</v>
      </c>
      <c r="B20" s="24" t="n">
        <f aca="false">MOD(ROW()-2,Summary!$B$8)+1</f>
        <v>19</v>
      </c>
      <c r="C20" s="24" t="str">
        <f aca="false">INDEX('Running Order'!$C$2:$C$225,B20)</f>
        <v>AFTER DARK COMING SOON</v>
      </c>
      <c r="D20" s="24" t="str">
        <f aca="false">INDEX('Running Order'!$D$2:$D$225,B20)</f>
        <v>Promo</v>
      </c>
      <c r="E20" s="5" t="n">
        <f aca="false">IF(INDEX('Running Order'!$B$2:$B$225,B20)="Y",INDEX('Running Order'!$E$2:$E$225,B20),0)</f>
        <v>0.00068287037037037</v>
      </c>
      <c r="F20" s="6" t="n">
        <f aca="false">(A20-1)*Summary!$B$5+INDEX('Running Order'!$F$2:$F$225,B20)</f>
        <v>46295.8740972222</v>
      </c>
      <c r="G20" s="6" t="n">
        <f aca="false">F20+E20</f>
        <v>46295.8747800926</v>
      </c>
      <c r="H20" s="24" t="str">
        <f aca="false">IF(INDEX('Running Order'!$B$2:$B$225,B20)="Y","on air","dropped")</f>
        <v>on air</v>
      </c>
      <c r="I20" s="24" t="str">
        <f aca="false">IF(F20&lt;Summary!$B$4+1,"yes","")</f>
        <v>yes</v>
      </c>
    </row>
    <row r="21" customFormat="false" ht="15" hidden="false" customHeight="false" outlineLevel="0" collapsed="false">
      <c r="A21" s="24" t="n">
        <f aca="false">INT((ROW()-2)/Summary!$B$8)+1</f>
        <v>1</v>
      </c>
      <c r="B21" s="24" t="n">
        <f aca="false">MOD(ROW()-2,Summary!$B$8)+1</f>
        <v>20</v>
      </c>
      <c r="C21" s="24" t="str">
        <f aca="false">INDEX('Running Order'!$C$2:$C$225,B21)</f>
        <v>ARIEL DETERGENT COMMERCIAL</v>
      </c>
      <c r="D21" s="24" t="str">
        <f aca="false">INDEX('Running Order'!$D$2:$D$225,B21)</f>
        <v>Commercial</v>
      </c>
      <c r="E21" s="5" t="n">
        <f aca="false">IF(INDEX('Running Order'!$B$2:$B$225,B21)="Y",INDEX('Running Order'!$E$2:$E$225,B21),0)</f>
        <v>0.000347222222222222</v>
      </c>
      <c r="F21" s="6" t="n">
        <f aca="false">(A21-1)*Summary!$B$5+INDEX('Running Order'!$F$2:$F$225,B21)</f>
        <v>46295.8747800926</v>
      </c>
      <c r="G21" s="6" t="n">
        <f aca="false">F21+E21</f>
        <v>46295.8751273148</v>
      </c>
      <c r="H21" s="24" t="str">
        <f aca="false">IF(INDEX('Running Order'!$B$2:$B$225,B21)="Y","on air","dropped")</f>
        <v>on air</v>
      </c>
      <c r="I21" s="24" t="str">
        <f aca="false">IF(F21&lt;Summary!$B$4+1,"yes","")</f>
        <v>yes</v>
      </c>
    </row>
    <row r="22" customFormat="false" ht="15" hidden="false" customHeight="false" outlineLevel="0" collapsed="false">
      <c r="A22" s="24" t="n">
        <f aca="false">INT((ROW()-2)/Summary!$B$8)+1</f>
        <v>1</v>
      </c>
      <c r="B22" s="24" t="n">
        <f aca="false">MOD(ROW()-2,Summary!$B$8)+1</f>
        <v>21</v>
      </c>
      <c r="C22" s="24" t="str">
        <f aca="false">INDEX('Running Order'!$C$2:$C$225,B22)</f>
        <v>malta ramadan parsley yam balls</v>
      </c>
      <c r="D22" s="24" t="str">
        <f aca="false">INDEX('Running Order'!$D$2:$D$225,B22)</f>
        <v>Short</v>
      </c>
      <c r="E22" s="5" t="n">
        <f aca="false">IF(INDEX('Running Order'!$B$2:$B$225,B22)="Y",INDEX('Running Order'!$E$2:$E$225,B22),0)</f>
        <v>0.00162037037037037</v>
      </c>
      <c r="F22" s="6" t="n">
        <f aca="false">(A22-1)*Summary!$B$5+INDEX('Running Order'!$F$2:$F$225,B22)</f>
        <v>46295.8751273148</v>
      </c>
      <c r="G22" s="6" t="n">
        <f aca="false">F22+E22</f>
        <v>46295.8767476852</v>
      </c>
      <c r="H22" s="24" t="str">
        <f aca="false">IF(INDEX('Running Order'!$B$2:$B$225,B22)="Y","on air","dropped")</f>
        <v>on air</v>
      </c>
      <c r="I22" s="24" t="str">
        <f aca="false">IF(F22&lt;Summary!$B$4+1,"yes","")</f>
        <v>yes</v>
      </c>
    </row>
    <row r="23" customFormat="false" ht="15" hidden="false" customHeight="false" outlineLevel="0" collapsed="false">
      <c r="A23" s="24" t="n">
        <f aca="false">INT((ROW()-2)/Summary!$B$8)+1</f>
        <v>1</v>
      </c>
      <c r="B23" s="24" t="n">
        <f aca="false">MOD(ROW()-2,Summary!$B$8)+1</f>
        <v>22</v>
      </c>
      <c r="C23" s="24" t="str">
        <f aca="false">INDEX('Running Order'!$C$2:$C$225,B23)</f>
        <v>CHANNEL MONTAGE</v>
      </c>
      <c r="D23" s="24" t="str">
        <f aca="false">INDEX('Running Order'!$D$2:$D$225,B23)</f>
        <v>Montage</v>
      </c>
      <c r="E23" s="5" t="n">
        <f aca="false">IF(INDEX('Running Order'!$B$2:$B$225,B23)="Y",INDEX('Running Order'!$E$2:$E$225,B23),0)</f>
        <v>0.000115740740740741</v>
      </c>
      <c r="F23" s="6" t="n">
        <f aca="false">(A23-1)*Summary!$B$5+INDEX('Running Order'!$F$2:$F$225,B23)</f>
        <v>46295.8767476852</v>
      </c>
      <c r="G23" s="6" t="n">
        <f aca="false">F23+E23</f>
        <v>46295.8768634259</v>
      </c>
      <c r="H23" s="24" t="str">
        <f aca="false">IF(INDEX('Running Order'!$B$2:$B$225,B23)="Y","on air","dropped")</f>
        <v>on air</v>
      </c>
      <c r="I23" s="24" t="str">
        <f aca="false">IF(F23&lt;Summary!$B$4+1,"yes","")</f>
        <v>yes</v>
      </c>
    </row>
    <row r="24" customFormat="false" ht="15" hidden="false" customHeight="false" outlineLevel="0" collapsed="false">
      <c r="A24" s="24" t="n">
        <f aca="false">INT((ROW()-2)/Summary!$B$8)+1</f>
        <v>1</v>
      </c>
      <c r="B24" s="24" t="n">
        <f aca="false">MOD(ROW()-2,Summary!$B$8)+1</f>
        <v>23</v>
      </c>
      <c r="C24" s="24" t="str">
        <f aca="false">INDEX('Running Order'!$C$2:$C$225,B24)</f>
        <v>LIPTON FLAVOUR</v>
      </c>
      <c r="D24" s="24" t="str">
        <f aca="false">INDEX('Running Order'!$D$2:$D$225,B24)</f>
        <v>Commercial</v>
      </c>
      <c r="E24" s="5" t="n">
        <f aca="false">IF(INDEX('Running Order'!$B$2:$B$225,B24)="Y",INDEX('Running Order'!$E$2:$E$225,B24),0)</f>
        <v>6.94444444444444E-005</v>
      </c>
      <c r="F24" s="6" t="n">
        <f aca="false">(A24-1)*Summary!$B$5+INDEX('Running Order'!$F$2:$F$225,B24)</f>
        <v>46295.8768634259</v>
      </c>
      <c r="G24" s="6" t="n">
        <f aca="false">F24+E24</f>
        <v>46295.8769328704</v>
      </c>
      <c r="H24" s="24" t="str">
        <f aca="false">IF(INDEX('Running Order'!$B$2:$B$225,B24)="Y","on air","dropped")</f>
        <v>on air</v>
      </c>
      <c r="I24" s="24" t="str">
        <f aca="false">IF(F24&lt;Summary!$B$4+1,"yes","")</f>
        <v>yes</v>
      </c>
    </row>
    <row r="25" customFormat="false" ht="15" hidden="false" customHeight="false" outlineLevel="0" collapsed="false">
      <c r="A25" s="24" t="n">
        <f aca="false">INT((ROW()-2)/Summary!$B$8)+1</f>
        <v>1</v>
      </c>
      <c r="B25" s="24" t="n">
        <f aca="false">MOD(ROW()-2,Summary!$B$8)+1</f>
        <v>24</v>
      </c>
      <c r="C25" s="24" t="str">
        <f aca="false">INDEX('Running Order'!$C$2:$C$225,B25)</f>
        <v>CROWN PASTA SPAG BOLOG</v>
      </c>
      <c r="D25" s="24" t="str">
        <f aca="false">INDEX('Running Order'!$D$2:$D$225,B25)</f>
        <v>Commercial</v>
      </c>
      <c r="E25" s="5" t="n">
        <f aca="false">IF(INDEX('Running Order'!$B$2:$B$225,B25)="Y",INDEX('Running Order'!$E$2:$E$225,B25),0)</f>
        <v>0.00100694444444444</v>
      </c>
      <c r="F25" s="6" t="n">
        <f aca="false">(A25-1)*Summary!$B$5+INDEX('Running Order'!$F$2:$F$225,B25)</f>
        <v>46295.8769328704</v>
      </c>
      <c r="G25" s="6" t="n">
        <f aca="false">F25+E25</f>
        <v>46295.8779398148</v>
      </c>
      <c r="H25" s="24" t="str">
        <f aca="false">IF(INDEX('Running Order'!$B$2:$B$225,B25)="Y","on air","dropped")</f>
        <v>on air</v>
      </c>
      <c r="I25" s="24" t="str">
        <f aca="false">IF(F25&lt;Summary!$B$4+1,"yes","")</f>
        <v>yes</v>
      </c>
    </row>
    <row r="26" customFormat="false" ht="15" hidden="false" customHeight="false" outlineLevel="0" collapsed="false">
      <c r="A26" s="24" t="n">
        <f aca="false">INT((ROW()-2)/Summary!$B$8)+1</f>
        <v>1</v>
      </c>
      <c r="B26" s="24" t="n">
        <f aca="false">MOD(ROW()-2,Summary!$B$8)+1</f>
        <v>25</v>
      </c>
      <c r="C26" s="24" t="str">
        <f aca="false">INDEX('Running Order'!$C$2:$C$225,B26)</f>
        <v>TATTASE CHIPS STING</v>
      </c>
      <c r="D26" s="24" t="str">
        <f aca="false">INDEX('Running Order'!$D$2:$D$225,B26)</f>
        <v>Sting</v>
      </c>
      <c r="E26" s="5" t="n">
        <f aca="false">IF(INDEX('Running Order'!$B$2:$B$225,B26)="Y",INDEX('Running Order'!$E$2:$E$225,B26),0)</f>
        <v>9.25925925925926E-005</v>
      </c>
      <c r="F26" s="6" t="n">
        <f aca="false">(A26-1)*Summary!$B$5+INDEX('Running Order'!$F$2:$F$225,B26)</f>
        <v>46295.8779398148</v>
      </c>
      <c r="G26" s="6" t="n">
        <f aca="false">F26+E26</f>
        <v>46295.8780324074</v>
      </c>
      <c r="H26" s="24" t="str">
        <f aca="false">IF(INDEX('Running Order'!$B$2:$B$225,B26)="Y","on air","dropped")</f>
        <v>on air</v>
      </c>
      <c r="I26" s="24" t="str">
        <f aca="false">IF(F26&lt;Summary!$B$4+1,"yes","")</f>
        <v>yes</v>
      </c>
    </row>
    <row r="27" customFormat="false" ht="15" hidden="false" customHeight="false" outlineLevel="0" collapsed="false">
      <c r="A27" s="24" t="n">
        <f aca="false">INT((ROW()-2)/Summary!$B$8)+1</f>
        <v>1</v>
      </c>
      <c r="B27" s="24" t="n">
        <f aca="false">MOD(ROW()-2,Summary!$B$8)+1</f>
        <v>26</v>
      </c>
      <c r="C27" s="24" t="str">
        <f aca="false">INDEX('Running Order'!$C$2:$C$225,B27)</f>
        <v>ABUJA NYSC CAMP</v>
      </c>
      <c r="D27" s="24" t="str">
        <f aca="false">INDEX('Running Order'!$D$2:$D$225,B27)</f>
        <v>Short</v>
      </c>
      <c r="E27" s="5" t="n">
        <f aca="false">IF(INDEX('Running Order'!$B$2:$B$225,B27)="Y",INDEX('Running Order'!$E$2:$E$225,B27),0)</f>
        <v>0.000555555555555556</v>
      </c>
      <c r="F27" s="6" t="n">
        <f aca="false">(A27-1)*Summary!$B$5+INDEX('Running Order'!$F$2:$F$225,B27)</f>
        <v>46295.8780324074</v>
      </c>
      <c r="G27" s="6" t="n">
        <f aca="false">F27+E27</f>
        <v>46295.878587963</v>
      </c>
      <c r="H27" s="24" t="str">
        <f aca="false">IF(INDEX('Running Order'!$B$2:$B$225,B27)="Y","on air","dropped")</f>
        <v>on air</v>
      </c>
      <c r="I27" s="24" t="str">
        <f aca="false">IF(F27&lt;Summary!$B$4+1,"yes","")</f>
        <v>yes</v>
      </c>
    </row>
    <row r="28" customFormat="false" ht="15" hidden="false" customHeight="false" outlineLevel="0" collapsed="false">
      <c r="A28" s="24" t="n">
        <f aca="false">INT((ROW()-2)/Summary!$B$8)+1</f>
        <v>1</v>
      </c>
      <c r="B28" s="24" t="n">
        <f aca="false">MOD(ROW()-2,Summary!$B$8)+1</f>
        <v>27</v>
      </c>
      <c r="C28" s="24" t="str">
        <f aca="false">INDEX('Running Order'!$C$2:$C$225,B28)</f>
        <v>FAB FOR TV</v>
      </c>
      <c r="D28" s="24" t="str">
        <f aca="false">INDEX('Running Order'!$D$2:$D$225,B28)</f>
        <v>Short</v>
      </c>
      <c r="E28" s="5" t="n">
        <f aca="false">IF(INDEX('Running Order'!$B$2:$B$225,B28)="Y",INDEX('Running Order'!$E$2:$E$225,B28),0)</f>
        <v>0.000393518518518519</v>
      </c>
      <c r="F28" s="6" t="n">
        <f aca="false">(A28-1)*Summary!$B$5+INDEX('Running Order'!$F$2:$F$225,B28)</f>
        <v>46295.878587963</v>
      </c>
      <c r="G28" s="6" t="n">
        <f aca="false">F28+E28</f>
        <v>46295.8789814815</v>
      </c>
      <c r="H28" s="24" t="str">
        <f aca="false">IF(INDEX('Running Order'!$B$2:$B$225,B28)="Y","on air","dropped")</f>
        <v>on air</v>
      </c>
      <c r="I28" s="24" t="str">
        <f aca="false">IF(F28&lt;Summary!$B$4+1,"yes","")</f>
        <v>yes</v>
      </c>
    </row>
    <row r="29" customFormat="false" ht="15" hidden="false" customHeight="false" outlineLevel="0" collapsed="false">
      <c r="A29" s="24" t="n">
        <f aca="false">INT((ROW()-2)/Summary!$B$8)+1</f>
        <v>1</v>
      </c>
      <c r="B29" s="24" t="n">
        <f aca="false">MOD(ROW()-2,Summary!$B$8)+1</f>
        <v>28</v>
      </c>
      <c r="C29" s="24" t="str">
        <f aca="false">INDEX('Running Order'!$C$2:$C$225,B29)</f>
        <v>Tattasetv sting</v>
      </c>
      <c r="D29" s="24" t="str">
        <f aca="false">INDEX('Running Order'!$D$2:$D$225,B29)</f>
        <v>Sting</v>
      </c>
      <c r="E29" s="5" t="n">
        <f aca="false">IF(INDEX('Running Order'!$B$2:$B$225,B29)="Y",INDEX('Running Order'!$E$2:$E$225,B29),0)</f>
        <v>6.94444444444444E-005</v>
      </c>
      <c r="F29" s="6" t="n">
        <f aca="false">(A29-1)*Summary!$B$5+INDEX('Running Order'!$F$2:$F$225,B29)</f>
        <v>46295.8789814815</v>
      </c>
      <c r="G29" s="6" t="n">
        <f aca="false">F29+E29</f>
        <v>46295.8790509259</v>
      </c>
      <c r="H29" s="24" t="str">
        <f aca="false">IF(INDEX('Running Order'!$B$2:$B$225,B29)="Y","on air","dropped")</f>
        <v>on air</v>
      </c>
      <c r="I29" s="24" t="str">
        <f aca="false">IF(F29&lt;Summary!$B$4+1,"yes","")</f>
        <v>yes</v>
      </c>
    </row>
    <row r="30" customFormat="false" ht="15" hidden="false" customHeight="false" outlineLevel="0" collapsed="false">
      <c r="A30" s="24" t="n">
        <f aca="false">INT((ROW()-2)/Summary!$B$8)+1</f>
        <v>1</v>
      </c>
      <c r="B30" s="24" t="n">
        <f aca="false">MOD(ROW()-2,Summary!$B$8)+1</f>
        <v>29</v>
      </c>
      <c r="C30" s="24" t="str">
        <f aca="false">INDEX('Running Order'!$C$2:$C$225,B30)</f>
        <v>LUNCH BOX COMING SOON</v>
      </c>
      <c r="D30" s="24" t="str">
        <f aca="false">INDEX('Running Order'!$D$2:$D$225,B30)</f>
        <v>Promo</v>
      </c>
      <c r="E30" s="5" t="n">
        <f aca="false">IF(INDEX('Running Order'!$B$2:$B$225,B30)="Y",INDEX('Running Order'!$E$2:$E$225,B30),0)</f>
        <v>0.000277777777777778</v>
      </c>
      <c r="F30" s="6" t="n">
        <f aca="false">(A30-1)*Summary!$B$5+INDEX('Running Order'!$F$2:$F$225,B30)</f>
        <v>46295.8790509259</v>
      </c>
      <c r="G30" s="6" t="n">
        <f aca="false">F30+E30</f>
        <v>46295.8793287037</v>
      </c>
      <c r="H30" s="24" t="str">
        <f aca="false">IF(INDEX('Running Order'!$B$2:$B$225,B30)="Y","on air","dropped")</f>
        <v>on air</v>
      </c>
      <c r="I30" s="24" t="str">
        <f aca="false">IF(F30&lt;Summary!$B$4+1,"yes","")</f>
        <v>yes</v>
      </c>
    </row>
    <row r="31" customFormat="false" ht="15" hidden="false" customHeight="false" outlineLevel="0" collapsed="false">
      <c r="A31" s="24" t="n">
        <f aca="false">INT((ROW()-2)/Summary!$B$8)+1</f>
        <v>1</v>
      </c>
      <c r="B31" s="24" t="n">
        <f aca="false">MOD(ROW()-2,Summary!$B$8)+1</f>
        <v>30</v>
      </c>
      <c r="C31" s="24" t="str">
        <f aca="false">INDEX('Running Order'!$C$2:$C$225,B31)</f>
        <v>BAKES N CAKES MONTAGE</v>
      </c>
      <c r="D31" s="24" t="str">
        <f aca="false">INDEX('Running Order'!$D$2:$D$225,B31)</f>
        <v>Short</v>
      </c>
      <c r="E31" s="5" t="n">
        <f aca="false">IF(INDEX('Running Order'!$B$2:$B$225,B31)="Y",INDEX('Running Order'!$E$2:$E$225,B31),0)</f>
        <v>0.000266203703703704</v>
      </c>
      <c r="F31" s="6" t="n">
        <f aca="false">(A31-1)*Summary!$B$5+INDEX('Running Order'!$F$2:$F$225,B31)</f>
        <v>46295.8793287037</v>
      </c>
      <c r="G31" s="6" t="n">
        <f aca="false">F31+E31</f>
        <v>46295.8795949074</v>
      </c>
      <c r="H31" s="24" t="str">
        <f aca="false">IF(INDEX('Running Order'!$B$2:$B$225,B31)="Y","on air","dropped")</f>
        <v>on air</v>
      </c>
      <c r="I31" s="24" t="str">
        <f aca="false">IF(F31&lt;Summary!$B$4+1,"yes","")</f>
        <v>yes</v>
      </c>
    </row>
    <row r="32" customFormat="false" ht="15" hidden="false" customHeight="false" outlineLevel="0" collapsed="false">
      <c r="A32" s="24" t="n">
        <f aca="false">INT((ROW()-2)/Summary!$B$8)+1</f>
        <v>1</v>
      </c>
      <c r="B32" s="24" t="n">
        <f aca="false">MOD(ROW()-2,Summary!$B$8)+1</f>
        <v>31</v>
      </c>
      <c r="C32" s="24" t="str">
        <f aca="false">INDEX('Running Order'!$C$2:$C$225,B32)</f>
        <v>GREEN FIELDS AFRICA COMING SOON</v>
      </c>
      <c r="D32" s="24" t="str">
        <f aca="false">INDEX('Running Order'!$D$2:$D$225,B32)</f>
        <v>Promo</v>
      </c>
      <c r="E32" s="5" t="n">
        <f aca="false">IF(INDEX('Running Order'!$B$2:$B$225,B32)="Y",INDEX('Running Order'!$E$2:$E$225,B32),0)</f>
        <v>0.000393518518518519</v>
      </c>
      <c r="F32" s="6" t="n">
        <f aca="false">(A32-1)*Summary!$B$5+INDEX('Running Order'!$F$2:$F$225,B32)</f>
        <v>46295.8795949074</v>
      </c>
      <c r="G32" s="6" t="n">
        <f aca="false">F32+E32</f>
        <v>46295.8799884259</v>
      </c>
      <c r="H32" s="24" t="str">
        <f aca="false">IF(INDEX('Running Order'!$B$2:$B$225,B32)="Y","on air","dropped")</f>
        <v>on air</v>
      </c>
      <c r="I32" s="24" t="str">
        <f aca="false">IF(F32&lt;Summary!$B$4+1,"yes","")</f>
        <v>yes</v>
      </c>
    </row>
    <row r="33" customFormat="false" ht="15" hidden="false" customHeight="false" outlineLevel="0" collapsed="false">
      <c r="A33" s="24" t="n">
        <f aca="false">INT((ROW()-2)/Summary!$B$8)+1</f>
        <v>1</v>
      </c>
      <c r="B33" s="24" t="n">
        <f aca="false">MOD(ROW()-2,Summary!$B$8)+1</f>
        <v>32</v>
      </c>
      <c r="C33" s="24" t="str">
        <f aca="false">INDEX('Running Order'!$C$2:$C$225,B33)</f>
        <v>CHANNEL MONTAGE</v>
      </c>
      <c r="D33" s="24" t="str">
        <f aca="false">INDEX('Running Order'!$D$2:$D$225,B33)</f>
        <v>Montage</v>
      </c>
      <c r="E33" s="5" t="n">
        <f aca="false">IF(INDEX('Running Order'!$B$2:$B$225,B33)="Y",INDEX('Running Order'!$E$2:$E$225,B33),0)</f>
        <v>0.000115740740740741</v>
      </c>
      <c r="F33" s="6" t="n">
        <f aca="false">(A33-1)*Summary!$B$5+INDEX('Running Order'!$F$2:$F$225,B33)</f>
        <v>46295.8799884259</v>
      </c>
      <c r="G33" s="6" t="n">
        <f aca="false">F33+E33</f>
        <v>46295.8801041667</v>
      </c>
      <c r="H33" s="24" t="str">
        <f aca="false">IF(INDEX('Running Order'!$B$2:$B$225,B33)="Y","on air","dropped")</f>
        <v>on air</v>
      </c>
      <c r="I33" s="24" t="str">
        <f aca="false">IF(F33&lt;Summary!$B$4+1,"yes","")</f>
        <v>yes</v>
      </c>
    </row>
    <row r="34" customFormat="false" ht="15" hidden="false" customHeight="false" outlineLevel="0" collapsed="false">
      <c r="A34" s="24" t="n">
        <f aca="false">INT((ROW()-2)/Summary!$B$8)+1</f>
        <v>1</v>
      </c>
      <c r="B34" s="24" t="n">
        <f aca="false">MOD(ROW()-2,Summary!$B$8)+1</f>
        <v>33</v>
      </c>
      <c r="C34" s="24" t="str">
        <f aca="false">INDEX('Running Order'!$C$2:$C$225,B34)</f>
        <v>COCACOLA RECIPE</v>
      </c>
      <c r="D34" s="24" t="str">
        <f aca="false">INDEX('Running Order'!$D$2:$D$225,B34)</f>
        <v>Short</v>
      </c>
      <c r="E34" s="5" t="n">
        <f aca="false">IF(INDEX('Running Order'!$B$2:$B$225,B34)="Y",INDEX('Running Order'!$E$2:$E$225,B34),0)</f>
        <v>0.000347222222222222</v>
      </c>
      <c r="F34" s="6" t="n">
        <f aca="false">(A34-1)*Summary!$B$5+INDEX('Running Order'!$F$2:$F$225,B34)</f>
        <v>46295.8801041667</v>
      </c>
      <c r="G34" s="6" t="n">
        <f aca="false">F34+E34</f>
        <v>46295.8804513889</v>
      </c>
      <c r="H34" s="24" t="str">
        <f aca="false">IF(INDEX('Running Order'!$B$2:$B$225,B34)="Y","on air","dropped")</f>
        <v>on air</v>
      </c>
      <c r="I34" s="24" t="str">
        <f aca="false">IF(F34&lt;Summary!$B$4+1,"yes","")</f>
        <v>yes</v>
      </c>
    </row>
    <row r="35" customFormat="false" ht="15" hidden="false" customHeight="false" outlineLevel="0" collapsed="false">
      <c r="A35" s="24" t="n">
        <f aca="false">INT((ROW()-2)/Summary!$B$8)+1</f>
        <v>1</v>
      </c>
      <c r="B35" s="24" t="n">
        <f aca="false">MOD(ROW()-2,Summary!$B$8)+1</f>
        <v>34</v>
      </c>
      <c r="C35" s="24" t="str">
        <f aca="false">INDEX('Running Order'!$C$2:$C$225,B35)</f>
        <v>URBAN KITCHEN SHOW NEW</v>
      </c>
      <c r="D35" s="24" t="str">
        <f aca="false">INDEX('Running Order'!$D$2:$D$225,B35)</f>
        <v>Short</v>
      </c>
      <c r="E35" s="5" t="n">
        <f aca="false">IF(INDEX('Running Order'!$B$2:$B$225,B35)="Y",INDEX('Running Order'!$E$2:$E$225,B35),0)</f>
        <v>0.00068287037037037</v>
      </c>
      <c r="F35" s="6" t="n">
        <f aca="false">(A35-1)*Summary!$B$5+INDEX('Running Order'!$F$2:$F$225,B35)</f>
        <v>46295.8804513889</v>
      </c>
      <c r="G35" s="6" t="n">
        <f aca="false">F35+E35</f>
        <v>46295.8811342593</v>
      </c>
      <c r="H35" s="24" t="str">
        <f aca="false">IF(INDEX('Running Order'!$B$2:$B$225,B35)="Y","on air","dropped")</f>
        <v>on air</v>
      </c>
      <c r="I35" s="24" t="str">
        <f aca="false">IF(F35&lt;Summary!$B$4+1,"yes","")</f>
        <v>yes</v>
      </c>
    </row>
    <row r="36" customFormat="false" ht="15" hidden="false" customHeight="false" outlineLevel="0" collapsed="false">
      <c r="A36" s="24" t="n">
        <f aca="false">INT((ROW()-2)/Summary!$B$8)+1</f>
        <v>1</v>
      </c>
      <c r="B36" s="24" t="n">
        <f aca="false">MOD(ROW()-2,Summary!$B$8)+1</f>
        <v>35</v>
      </c>
      <c r="C36" s="24" t="str">
        <f aca="false">INDEX('Running Order'!$C$2:$C$225,B36)</f>
        <v>VEGAN DIARIES REAL</v>
      </c>
      <c r="D36" s="24" t="str">
        <f aca="false">INDEX('Running Order'!$D$2:$D$225,B36)</f>
        <v>Short</v>
      </c>
      <c r="E36" s="5" t="n">
        <f aca="false">IF(INDEX('Running Order'!$B$2:$B$225,B36)="Y",INDEX('Running Order'!$E$2:$E$225,B36),0)</f>
        <v>0.000428240740740741</v>
      </c>
      <c r="F36" s="6" t="n">
        <f aca="false">(A36-1)*Summary!$B$5+INDEX('Running Order'!$F$2:$F$225,B36)</f>
        <v>46295.8811342593</v>
      </c>
      <c r="G36" s="6" t="n">
        <f aca="false">F36+E36</f>
        <v>46295.8815625</v>
      </c>
      <c r="H36" s="24" t="str">
        <f aca="false">IF(INDEX('Running Order'!$B$2:$B$225,B36)="Y","on air","dropped")</f>
        <v>on air</v>
      </c>
      <c r="I36" s="24" t="str">
        <f aca="false">IF(F36&lt;Summary!$B$4+1,"yes","")</f>
        <v>yes</v>
      </c>
    </row>
    <row r="37" customFormat="false" ht="15" hidden="false" customHeight="false" outlineLevel="0" collapsed="false">
      <c r="A37" s="24" t="n">
        <f aca="false">INT((ROW()-2)/Summary!$B$8)+1</f>
        <v>1</v>
      </c>
      <c r="B37" s="24" t="n">
        <f aca="false">MOD(ROW()-2,Summary!$B$8)+1</f>
        <v>36</v>
      </c>
      <c r="C37" s="24" t="str">
        <f aca="false">INDEX('Running Order'!$C$2:$C$225,B37)</f>
        <v>FOOD MART</v>
      </c>
      <c r="D37" s="24" t="str">
        <f aca="false">INDEX('Running Order'!$D$2:$D$225,B37)</f>
        <v>Short</v>
      </c>
      <c r="E37" s="5" t="n">
        <f aca="false">IF(INDEX('Running Order'!$B$2:$B$225,B37)="Y",INDEX('Running Order'!$E$2:$E$225,B37),0)</f>
        <v>0.000428240740740741</v>
      </c>
      <c r="F37" s="6" t="n">
        <f aca="false">(A37-1)*Summary!$B$5+INDEX('Running Order'!$F$2:$F$225,B37)</f>
        <v>46295.8815625</v>
      </c>
      <c r="G37" s="6" t="n">
        <f aca="false">F37+E37</f>
        <v>46295.8819907407</v>
      </c>
      <c r="H37" s="24" t="str">
        <f aca="false">IF(INDEX('Running Order'!$B$2:$B$225,B37)="Y","on air","dropped")</f>
        <v>on air</v>
      </c>
      <c r="I37" s="24" t="str">
        <f aca="false">IF(F37&lt;Summary!$B$4+1,"yes","")</f>
        <v>yes</v>
      </c>
    </row>
    <row r="38" customFormat="false" ht="15" hidden="false" customHeight="false" outlineLevel="0" collapsed="false">
      <c r="A38" s="24" t="n">
        <f aca="false">INT((ROW()-2)/Summary!$B$8)+1</f>
        <v>1</v>
      </c>
      <c r="B38" s="24" t="n">
        <f aca="false">MOD(ROW()-2,Summary!$B$8)+1</f>
        <v>37</v>
      </c>
      <c r="C38" s="24" t="str">
        <f aca="false">INDEX('Running Order'!$C$2:$C$225,B38)</f>
        <v>TATTASE COFFEE STINGS</v>
      </c>
      <c r="D38" s="24" t="str">
        <f aca="false">INDEX('Running Order'!$D$2:$D$225,B38)</f>
        <v>Sting</v>
      </c>
      <c r="E38" s="5" t="n">
        <f aca="false">IF(INDEX('Running Order'!$B$2:$B$225,B38)="Y",INDEX('Running Order'!$E$2:$E$225,B38),0)</f>
        <v>9.25925925925926E-005</v>
      </c>
      <c r="F38" s="6" t="n">
        <f aca="false">(A38-1)*Summary!$B$5+INDEX('Running Order'!$F$2:$F$225,B38)</f>
        <v>46295.8819907407</v>
      </c>
      <c r="G38" s="6" t="n">
        <f aca="false">F38+E38</f>
        <v>46295.8820833333</v>
      </c>
      <c r="H38" s="24" t="str">
        <f aca="false">IF(INDEX('Running Order'!$B$2:$B$225,B38)="Y","on air","dropped")</f>
        <v>on air</v>
      </c>
      <c r="I38" s="24" t="str">
        <f aca="false">IF(F38&lt;Summary!$B$4+1,"yes","")</f>
        <v>yes</v>
      </c>
    </row>
    <row r="39" customFormat="false" ht="15" hidden="false" customHeight="false" outlineLevel="0" collapsed="false">
      <c r="A39" s="24" t="n">
        <f aca="false">INT((ROW()-2)/Summary!$B$8)+1</f>
        <v>1</v>
      </c>
      <c r="B39" s="24" t="n">
        <f aca="false">MOD(ROW()-2,Summary!$B$8)+1</f>
        <v>38</v>
      </c>
      <c r="C39" s="24" t="str">
        <f aca="false">INDEX('Running Order'!$C$2:$C$225,B39)</f>
        <v>AJINOMOTO EGG SAUCE AND BOILED YAM</v>
      </c>
      <c r="D39" s="24" t="str">
        <f aca="false">INDEX('Running Order'!$D$2:$D$225,B39)</f>
        <v>Programme</v>
      </c>
      <c r="E39" s="5" t="n">
        <f aca="false">IF(INDEX('Running Order'!$B$2:$B$225,B39)="Y",INDEX('Running Order'!$E$2:$E$225,B39),0)</f>
        <v>0.00274305555555556</v>
      </c>
      <c r="F39" s="6" t="n">
        <f aca="false">(A39-1)*Summary!$B$5+INDEX('Running Order'!$F$2:$F$225,B39)</f>
        <v>46295.8820833333</v>
      </c>
      <c r="G39" s="6" t="n">
        <f aca="false">F39+E39</f>
        <v>46295.8848263889</v>
      </c>
      <c r="H39" s="24" t="str">
        <f aca="false">IF(INDEX('Running Order'!$B$2:$B$225,B39)="Y","on air","dropped")</f>
        <v>on air</v>
      </c>
      <c r="I39" s="24" t="str">
        <f aca="false">IF(F39&lt;Summary!$B$4+1,"yes","")</f>
        <v>yes</v>
      </c>
    </row>
    <row r="40" customFormat="false" ht="15" hidden="false" customHeight="false" outlineLevel="0" collapsed="false">
      <c r="A40" s="24" t="n">
        <f aca="false">INT((ROW()-2)/Summary!$B$8)+1</f>
        <v>1</v>
      </c>
      <c r="B40" s="24" t="n">
        <f aca="false">MOD(ROW()-2,Summary!$B$8)+1</f>
        <v>39</v>
      </c>
      <c r="C40" s="24" t="str">
        <f aca="false">INDEX('Running Order'!$C$2:$C$225,B40)</f>
        <v>Tattasetv sting</v>
      </c>
      <c r="D40" s="24" t="str">
        <f aca="false">INDEX('Running Order'!$D$2:$D$225,B40)</f>
        <v>Sting</v>
      </c>
      <c r="E40" s="5" t="n">
        <f aca="false">IF(INDEX('Running Order'!$B$2:$B$225,B40)="Y",INDEX('Running Order'!$E$2:$E$225,B40),0)</f>
        <v>6.94444444444444E-005</v>
      </c>
      <c r="F40" s="6" t="n">
        <f aca="false">(A40-1)*Summary!$B$5+INDEX('Running Order'!$F$2:$F$225,B40)</f>
        <v>46295.8848263889</v>
      </c>
      <c r="G40" s="6" t="n">
        <f aca="false">F40+E40</f>
        <v>46295.8848958333</v>
      </c>
      <c r="H40" s="24" t="str">
        <f aca="false">IF(INDEX('Running Order'!$B$2:$B$225,B40)="Y","on air","dropped")</f>
        <v>on air</v>
      </c>
      <c r="I40" s="24" t="str">
        <f aca="false">IF(F40&lt;Summary!$B$4+1,"yes","")</f>
        <v>yes</v>
      </c>
    </row>
    <row r="41" customFormat="false" ht="15" hidden="false" customHeight="false" outlineLevel="0" collapsed="false">
      <c r="A41" s="24" t="n">
        <f aca="false">INT((ROW()-2)/Summary!$B$8)+1</f>
        <v>1</v>
      </c>
      <c r="B41" s="24" t="n">
        <f aca="false">MOD(ROW()-2,Summary!$B$8)+1</f>
        <v>40</v>
      </c>
      <c r="C41" s="24" t="str">
        <f aca="false">INDEX('Running Order'!$C$2:$C$225,B41)</f>
        <v>THE TRUTH ABOUT NETWORK MARKETING NO-ONE TELLS YOU</v>
      </c>
      <c r="D41" s="24" t="str">
        <f aca="false">INDEX('Running Order'!$D$2:$D$225,B41)</f>
        <v>Programme</v>
      </c>
      <c r="E41" s="5" t="n">
        <f aca="false">IF(INDEX('Running Order'!$B$2:$B$225,B41)="Y",INDEX('Running Order'!$E$2:$E$225,B41),0)</f>
        <v>0.00299768518518519</v>
      </c>
      <c r="F41" s="6" t="n">
        <f aca="false">(A41-1)*Summary!$B$5+INDEX('Running Order'!$F$2:$F$225,B41)</f>
        <v>46295.8848958333</v>
      </c>
      <c r="G41" s="6" t="n">
        <f aca="false">F41+E41</f>
        <v>46295.8878935185</v>
      </c>
      <c r="H41" s="24" t="str">
        <f aca="false">IF(INDEX('Running Order'!$B$2:$B$225,B41)="Y","on air","dropped")</f>
        <v>on air</v>
      </c>
      <c r="I41" s="24" t="str">
        <f aca="false">IF(F41&lt;Summary!$B$4+1,"yes","")</f>
        <v>yes</v>
      </c>
    </row>
    <row r="42" customFormat="false" ht="15" hidden="false" customHeight="false" outlineLevel="0" collapsed="false">
      <c r="A42" s="24" t="n">
        <f aca="false">INT((ROW()-2)/Summary!$B$8)+1</f>
        <v>1</v>
      </c>
      <c r="B42" s="24" t="n">
        <f aca="false">MOD(ROW()-2,Summary!$B$8)+1</f>
        <v>41</v>
      </c>
      <c r="C42" s="24" t="str">
        <f aca="false">INDEX('Running Order'!$C$2:$C$225,B42)</f>
        <v>BOLEFEST X MALTA GUINESS TV</v>
      </c>
      <c r="D42" s="24" t="str">
        <f aca="false">INDEX('Running Order'!$D$2:$D$225,B42)</f>
        <v>Short</v>
      </c>
      <c r="E42" s="5" t="n">
        <f aca="false">IF(INDEX('Running Order'!$B$2:$B$225,B42)="Y",INDEX('Running Order'!$E$2:$E$225,B42),0)</f>
        <v>0.0012962962962963</v>
      </c>
      <c r="F42" s="6" t="n">
        <f aca="false">(A42-1)*Summary!$B$5+INDEX('Running Order'!$F$2:$F$225,B42)</f>
        <v>46295.8878935185</v>
      </c>
      <c r="G42" s="6" t="n">
        <f aca="false">F42+E42</f>
        <v>46295.8891898148</v>
      </c>
      <c r="H42" s="24" t="str">
        <f aca="false">IF(INDEX('Running Order'!$B$2:$B$225,B42)="Y","on air","dropped")</f>
        <v>on air</v>
      </c>
      <c r="I42" s="24" t="str">
        <f aca="false">IF(F42&lt;Summary!$B$4+1,"yes","")</f>
        <v>yes</v>
      </c>
    </row>
    <row r="43" customFormat="false" ht="15" hidden="false" customHeight="false" outlineLevel="0" collapsed="false">
      <c r="A43" s="24" t="n">
        <f aca="false">INT((ROW()-2)/Summary!$B$8)+1</f>
        <v>1</v>
      </c>
      <c r="B43" s="24" t="n">
        <f aca="false">MOD(ROW()-2,Summary!$B$8)+1</f>
        <v>42</v>
      </c>
      <c r="C43" s="24" t="str">
        <f aca="false">INDEX('Running Order'!$C$2:$C$225,B43)</f>
        <v>BAKERACE TV</v>
      </c>
      <c r="D43" s="24" t="str">
        <f aca="false">INDEX('Running Order'!$D$2:$D$225,B43)</f>
        <v>Short</v>
      </c>
      <c r="E43" s="5" t="n">
        <f aca="false">IF(INDEX('Running Order'!$B$2:$B$225,B43)="Y",INDEX('Running Order'!$E$2:$E$225,B43),0)</f>
        <v>0.00103009259259259</v>
      </c>
      <c r="F43" s="6" t="n">
        <f aca="false">(A43-1)*Summary!$B$5+INDEX('Running Order'!$F$2:$F$225,B43)</f>
        <v>46295.8891898148</v>
      </c>
      <c r="G43" s="6" t="n">
        <f aca="false">F43+E43</f>
        <v>46295.8902199074</v>
      </c>
      <c r="H43" s="24" t="str">
        <f aca="false">IF(INDEX('Running Order'!$B$2:$B$225,B43)="Y","on air","dropped")</f>
        <v>on air</v>
      </c>
      <c r="I43" s="24" t="str">
        <f aca="false">IF(F43&lt;Summary!$B$4+1,"yes","")</f>
        <v>yes</v>
      </c>
    </row>
    <row r="44" customFormat="false" ht="15" hidden="false" customHeight="false" outlineLevel="0" collapsed="false">
      <c r="A44" s="24" t="n">
        <f aca="false">INT((ROW()-2)/Summary!$B$8)+1</f>
        <v>1</v>
      </c>
      <c r="B44" s="24" t="n">
        <f aca="false">MOD(ROW()-2,Summary!$B$8)+1</f>
        <v>43</v>
      </c>
      <c r="C44" s="24" t="str">
        <f aca="false">INDEX('Running Order'!$C$2:$C$225,B44)</f>
        <v>RECIPE AFRICA</v>
      </c>
      <c r="D44" s="24" t="str">
        <f aca="false">INDEX('Running Order'!$D$2:$D$225,B44)</f>
        <v>Short</v>
      </c>
      <c r="E44" s="5" t="n">
        <f aca="false">IF(INDEX('Running Order'!$B$2:$B$225,B44)="Y",INDEX('Running Order'!$E$2:$E$225,B44),0)</f>
        <v>0.00025462962962963</v>
      </c>
      <c r="F44" s="6" t="n">
        <f aca="false">(A44-1)*Summary!$B$5+INDEX('Running Order'!$F$2:$F$225,B44)</f>
        <v>46295.8902199074</v>
      </c>
      <c r="G44" s="6" t="n">
        <f aca="false">F44+E44</f>
        <v>46295.890474537</v>
      </c>
      <c r="H44" s="24" t="str">
        <f aca="false">IF(INDEX('Running Order'!$B$2:$B$225,B44)="Y","on air","dropped")</f>
        <v>on air</v>
      </c>
      <c r="I44" s="24" t="str">
        <f aca="false">IF(F44&lt;Summary!$B$4+1,"yes","")</f>
        <v>yes</v>
      </c>
    </row>
    <row r="45" customFormat="false" ht="15" hidden="false" customHeight="false" outlineLevel="0" collapsed="false">
      <c r="A45" s="24" t="n">
        <f aca="false">INT((ROW()-2)/Summary!$B$8)+1</f>
        <v>1</v>
      </c>
      <c r="B45" s="24" t="n">
        <f aca="false">MOD(ROW()-2,Summary!$B$8)+1</f>
        <v>44</v>
      </c>
      <c r="C45" s="24" t="str">
        <f aca="false">INDEX('Running Order'!$C$2:$C$225,B45)</f>
        <v>CHANNEL MONTAGE</v>
      </c>
      <c r="D45" s="24" t="str">
        <f aca="false">INDEX('Running Order'!$D$2:$D$225,B45)</f>
        <v>Montage</v>
      </c>
      <c r="E45" s="5" t="n">
        <f aca="false">IF(INDEX('Running Order'!$B$2:$B$225,B45)="Y",INDEX('Running Order'!$E$2:$E$225,B45),0)</f>
        <v>0.000115740740740741</v>
      </c>
      <c r="F45" s="6" t="n">
        <f aca="false">(A45-1)*Summary!$B$5+INDEX('Running Order'!$F$2:$F$225,B45)</f>
        <v>46295.890474537</v>
      </c>
      <c r="G45" s="6" t="n">
        <f aca="false">F45+E45</f>
        <v>46295.8905902778</v>
      </c>
      <c r="H45" s="24" t="str">
        <f aca="false">IF(INDEX('Running Order'!$B$2:$B$225,B45)="Y","on air","dropped")</f>
        <v>on air</v>
      </c>
      <c r="I45" s="24" t="str">
        <f aca="false">IF(F45&lt;Summary!$B$4+1,"yes","")</f>
        <v>yes</v>
      </c>
    </row>
    <row r="46" customFormat="false" ht="15" hidden="false" customHeight="false" outlineLevel="0" collapsed="false">
      <c r="A46" s="24" t="n">
        <f aca="false">INT((ROW()-2)/Summary!$B$8)+1</f>
        <v>1</v>
      </c>
      <c r="B46" s="24" t="n">
        <f aca="false">MOD(ROW()-2,Summary!$B$8)+1</f>
        <v>45</v>
      </c>
      <c r="C46" s="24" t="str">
        <f aca="false">INDEX('Running Order'!$C$2:$C$225,B46)</f>
        <v>ORAL B COMMERCIAL VIDEO</v>
      </c>
      <c r="D46" s="24" t="str">
        <f aca="false">INDEX('Running Order'!$D$2:$D$225,B46)</f>
        <v>Commercial</v>
      </c>
      <c r="E46" s="5" t="n">
        <f aca="false">IF(INDEX('Running Order'!$B$2:$B$225,B46)="Y",INDEX('Running Order'!$E$2:$E$225,B46),0)</f>
        <v>0.000347222222222222</v>
      </c>
      <c r="F46" s="6" t="n">
        <f aca="false">(A46-1)*Summary!$B$5+INDEX('Running Order'!$F$2:$F$225,B46)</f>
        <v>46295.8905902778</v>
      </c>
      <c r="G46" s="6" t="n">
        <f aca="false">F46+E46</f>
        <v>46295.8909375</v>
      </c>
      <c r="H46" s="24" t="str">
        <f aca="false">IF(INDEX('Running Order'!$B$2:$B$225,B46)="Y","on air","dropped")</f>
        <v>on air</v>
      </c>
      <c r="I46" s="24" t="str">
        <f aca="false">IF(F46&lt;Summary!$B$4+1,"yes","")</f>
        <v>yes</v>
      </c>
    </row>
    <row r="47" customFormat="false" ht="15" hidden="false" customHeight="false" outlineLevel="0" collapsed="false">
      <c r="A47" s="24" t="n">
        <f aca="false">INT((ROW()-2)/Summary!$B$8)+1</f>
        <v>1</v>
      </c>
      <c r="B47" s="24" t="n">
        <f aca="false">MOD(ROW()-2,Summary!$B$8)+1</f>
        <v>46</v>
      </c>
      <c r="C47" s="24" t="str">
        <f aca="false">INDEX('Running Order'!$C$2:$C$225,B47)</f>
        <v>CHANNEL MONTAGE</v>
      </c>
      <c r="D47" s="24" t="str">
        <f aca="false">INDEX('Running Order'!$D$2:$D$225,B47)</f>
        <v>Montage</v>
      </c>
      <c r="E47" s="5" t="n">
        <f aca="false">IF(INDEX('Running Order'!$B$2:$B$225,B47)="Y",INDEX('Running Order'!$E$2:$E$225,B47),0)</f>
        <v>0.000115740740740741</v>
      </c>
      <c r="F47" s="6" t="n">
        <f aca="false">(A47-1)*Summary!$B$5+INDEX('Running Order'!$F$2:$F$225,B47)</f>
        <v>46295.8909375</v>
      </c>
      <c r="G47" s="6" t="n">
        <f aca="false">F47+E47</f>
        <v>46295.8910532407</v>
      </c>
      <c r="H47" s="24" t="str">
        <f aca="false">IF(INDEX('Running Order'!$B$2:$B$225,B47)="Y","on air","dropped")</f>
        <v>on air</v>
      </c>
      <c r="I47" s="24" t="str">
        <f aca="false">IF(F47&lt;Summary!$B$4+1,"yes","")</f>
        <v>yes</v>
      </c>
    </row>
    <row r="48" customFormat="false" ht="15" hidden="false" customHeight="false" outlineLevel="0" collapsed="false">
      <c r="A48" s="24" t="n">
        <f aca="false">INT((ROW()-2)/Summary!$B$8)+1</f>
        <v>1</v>
      </c>
      <c r="B48" s="24" t="n">
        <f aca="false">MOD(ROW()-2,Summary!$B$8)+1</f>
        <v>47</v>
      </c>
      <c r="C48" s="24" t="str">
        <f aca="false">INDEX('Running Order'!$C$2:$C$225,B48)</f>
        <v>10 FOODS TO CUT DOWN ON HEALTHY LIVING</v>
      </c>
      <c r="D48" s="24" t="str">
        <f aca="false">INDEX('Running Order'!$D$2:$D$225,B48)</f>
        <v>Programme</v>
      </c>
      <c r="E48" s="5" t="n">
        <f aca="false">IF(INDEX('Running Order'!$B$2:$B$225,B48)="Y",INDEX('Running Order'!$E$2:$E$225,B48),0)</f>
        <v>0.0162615740740741</v>
      </c>
      <c r="F48" s="6" t="n">
        <f aca="false">(A48-1)*Summary!$B$5+INDEX('Running Order'!$F$2:$F$225,B48)</f>
        <v>46295.8910532407</v>
      </c>
      <c r="G48" s="6" t="n">
        <f aca="false">F48+E48</f>
        <v>46295.9073148148</v>
      </c>
      <c r="H48" s="24" t="str">
        <f aca="false">IF(INDEX('Running Order'!$B$2:$B$225,B48)="Y","on air","dropped")</f>
        <v>on air</v>
      </c>
      <c r="I48" s="24" t="str">
        <f aca="false">IF(F48&lt;Summary!$B$4+1,"yes","")</f>
        <v>yes</v>
      </c>
    </row>
    <row r="49" customFormat="false" ht="15" hidden="false" customHeight="false" outlineLevel="0" collapsed="false">
      <c r="A49" s="24" t="n">
        <f aca="false">INT((ROW()-2)/Summary!$B$8)+1</f>
        <v>1</v>
      </c>
      <c r="B49" s="24" t="n">
        <f aca="false">MOD(ROW()-2,Summary!$B$8)+1</f>
        <v>48</v>
      </c>
      <c r="C49" s="24" t="str">
        <f aca="false">INDEX('Running Order'!$C$2:$C$225,B49)</f>
        <v>TATTASE TV STING</v>
      </c>
      <c r="D49" s="24" t="str">
        <f aca="false">INDEX('Running Order'!$D$2:$D$225,B49)</f>
        <v>Sting</v>
      </c>
      <c r="E49" s="5" t="n">
        <f aca="false">IF(INDEX('Running Order'!$B$2:$B$225,B49)="Y",INDEX('Running Order'!$E$2:$E$225,B49),0)</f>
        <v>6.94444444444444E-005</v>
      </c>
      <c r="F49" s="6" t="n">
        <f aca="false">(A49-1)*Summary!$B$5+INDEX('Running Order'!$F$2:$F$225,B49)</f>
        <v>46295.9073148148</v>
      </c>
      <c r="G49" s="6" t="n">
        <f aca="false">F49+E49</f>
        <v>46295.9073842593</v>
      </c>
      <c r="H49" s="24" t="str">
        <f aca="false">IF(INDEX('Running Order'!$B$2:$B$225,B49)="Y","on air","dropped")</f>
        <v>on air</v>
      </c>
      <c r="I49" s="24" t="str">
        <f aca="false">IF(F49&lt;Summary!$B$4+1,"yes","")</f>
        <v>yes</v>
      </c>
    </row>
    <row r="50" customFormat="false" ht="15" hidden="false" customHeight="false" outlineLevel="0" collapsed="false">
      <c r="A50" s="24" t="n">
        <f aca="false">INT((ROW()-2)/Summary!$B$8)+1</f>
        <v>1</v>
      </c>
      <c r="B50" s="24" t="n">
        <f aca="false">MOD(ROW()-2,Summary!$B$8)+1</f>
        <v>49</v>
      </c>
      <c r="C50" s="24" t="str">
        <f aca="false">INDEX('Running Order'!$C$2:$C$225,B50)</f>
        <v>KIVO VIDEO</v>
      </c>
      <c r="D50" s="24" t="str">
        <f aca="false">INDEX('Running Order'!$D$2:$D$225,B50)</f>
        <v>Commercial</v>
      </c>
      <c r="E50" s="5" t="n">
        <f aca="false">IF(INDEX('Running Order'!$B$2:$B$225,B50)="Y",INDEX('Running Order'!$E$2:$E$225,B50),0)</f>
        <v>0.000520833333333333</v>
      </c>
      <c r="F50" s="6" t="n">
        <f aca="false">(A50-1)*Summary!$B$5+INDEX('Running Order'!$F$2:$F$225,B50)</f>
        <v>46295.9073842593</v>
      </c>
      <c r="G50" s="6" t="n">
        <f aca="false">F50+E50</f>
        <v>46295.9079050926</v>
      </c>
      <c r="H50" s="24" t="str">
        <f aca="false">IF(INDEX('Running Order'!$B$2:$B$225,B50)="Y","on air","dropped")</f>
        <v>on air</v>
      </c>
      <c r="I50" s="24" t="str">
        <f aca="false">IF(F50&lt;Summary!$B$4+1,"yes","")</f>
        <v>yes</v>
      </c>
    </row>
    <row r="51" customFormat="false" ht="15" hidden="false" customHeight="false" outlineLevel="0" collapsed="false">
      <c r="A51" s="24" t="n">
        <f aca="false">INT((ROW()-2)/Summary!$B$8)+1</f>
        <v>1</v>
      </c>
      <c r="B51" s="24" t="n">
        <f aca="false">MOD(ROW()-2,Summary!$B$8)+1</f>
        <v>50</v>
      </c>
      <c r="C51" s="24" t="str">
        <f aca="false">INDEX('Running Order'!$C$2:$C$225,B51)</f>
        <v>NEW AND IMPROVED GINO MAX CHICKEN</v>
      </c>
      <c r="D51" s="24" t="str">
        <f aca="false">INDEX('Running Order'!$D$2:$D$225,B51)</f>
        <v>Commercial</v>
      </c>
      <c r="E51" s="5" t="n">
        <f aca="false">IF(INDEX('Running Order'!$B$2:$B$225,B51)="Y",INDEX('Running Order'!$E$2:$E$225,B51),0)</f>
        <v>0.000520833333333333</v>
      </c>
      <c r="F51" s="6" t="n">
        <f aca="false">(A51-1)*Summary!$B$5+INDEX('Running Order'!$F$2:$F$225,B51)</f>
        <v>46295.9079050926</v>
      </c>
      <c r="G51" s="6" t="n">
        <f aca="false">F51+E51</f>
        <v>46295.9084259259</v>
      </c>
      <c r="H51" s="24" t="str">
        <f aca="false">IF(INDEX('Running Order'!$B$2:$B$225,B51)="Y","on air","dropped")</f>
        <v>on air</v>
      </c>
      <c r="I51" s="24" t="str">
        <f aca="false">IF(F51&lt;Summary!$B$4+1,"yes","")</f>
        <v>yes</v>
      </c>
    </row>
    <row r="52" customFormat="false" ht="15" hidden="false" customHeight="false" outlineLevel="0" collapsed="false">
      <c r="A52" s="24" t="n">
        <f aca="false">INT((ROW()-2)/Summary!$B$8)+1</f>
        <v>1</v>
      </c>
      <c r="B52" s="24" t="n">
        <f aca="false">MOD(ROW()-2,Summary!$B$8)+1</f>
        <v>51</v>
      </c>
      <c r="C52" s="24" t="str">
        <f aca="false">INDEX('Running Order'!$C$2:$C$225,B52)</f>
        <v>GOLDEN MOM</v>
      </c>
      <c r="D52" s="24" t="str">
        <f aca="false">INDEX('Running Order'!$D$2:$D$225,B52)</f>
        <v>Commercial</v>
      </c>
      <c r="E52" s="5" t="n">
        <f aca="false">IF(INDEX('Running Order'!$B$2:$B$225,B52)="Y",INDEX('Running Order'!$E$2:$E$225,B52),0)</f>
        <v>0.000636574074074074</v>
      </c>
      <c r="F52" s="6" t="n">
        <f aca="false">(A52-1)*Summary!$B$5+INDEX('Running Order'!$F$2:$F$225,B52)</f>
        <v>46295.9084259259</v>
      </c>
      <c r="G52" s="6" t="n">
        <f aca="false">F52+E52</f>
        <v>46295.9090625</v>
      </c>
      <c r="H52" s="24" t="str">
        <f aca="false">IF(INDEX('Running Order'!$B$2:$B$225,B52)="Y","on air","dropped")</f>
        <v>on air</v>
      </c>
      <c r="I52" s="24" t="str">
        <f aca="false">IF(F52&lt;Summary!$B$4+1,"yes","")</f>
        <v>yes</v>
      </c>
    </row>
    <row r="53" customFormat="false" ht="15" hidden="false" customHeight="false" outlineLevel="0" collapsed="false">
      <c r="A53" s="24" t="n">
        <f aca="false">INT((ROW()-2)/Summary!$B$8)+1</f>
        <v>1</v>
      </c>
      <c r="B53" s="24" t="n">
        <f aca="false">MOD(ROW()-2,Summary!$B$8)+1</f>
        <v>52</v>
      </c>
      <c r="C53" s="24" t="str">
        <f aca="false">INDEX('Running Order'!$C$2:$C$225,B53)</f>
        <v>FOOD SHOUTOUTS</v>
      </c>
      <c r="D53" s="24" t="str">
        <f aca="false">INDEX('Running Order'!$D$2:$D$225,B53)</f>
        <v>Short</v>
      </c>
      <c r="E53" s="5" t="n">
        <f aca="false">IF(INDEX('Running Order'!$B$2:$B$225,B53)="Y",INDEX('Running Order'!$E$2:$E$225,B53),0)</f>
        <v>0.000902777777777778</v>
      </c>
      <c r="F53" s="6" t="n">
        <f aca="false">(A53-1)*Summary!$B$5+INDEX('Running Order'!$F$2:$F$225,B53)</f>
        <v>46295.9090625</v>
      </c>
      <c r="G53" s="6" t="n">
        <f aca="false">F53+E53</f>
        <v>46295.9099652778</v>
      </c>
      <c r="H53" s="24" t="str">
        <f aca="false">IF(INDEX('Running Order'!$B$2:$B$225,B53)="Y","on air","dropped")</f>
        <v>on air</v>
      </c>
      <c r="I53" s="24" t="str">
        <f aca="false">IF(F53&lt;Summary!$B$4+1,"yes","")</f>
        <v>yes</v>
      </c>
    </row>
    <row r="54" customFormat="false" ht="15" hidden="false" customHeight="false" outlineLevel="0" collapsed="false">
      <c r="A54" s="24" t="n">
        <f aca="false">INT((ROW()-2)/Summary!$B$8)+1</f>
        <v>1</v>
      </c>
      <c r="B54" s="24" t="n">
        <f aca="false">MOD(ROW()-2,Summary!$B$8)+1</f>
        <v>53</v>
      </c>
      <c r="C54" s="24" t="str">
        <f aca="false">INDEX('Running Order'!$C$2:$C$225,B54)</f>
        <v>CHANNEL MONTAGE</v>
      </c>
      <c r="D54" s="24" t="str">
        <f aca="false">INDEX('Running Order'!$D$2:$D$225,B54)</f>
        <v>Montage</v>
      </c>
      <c r="E54" s="5" t="n">
        <f aca="false">IF(INDEX('Running Order'!$B$2:$B$225,B54)="Y",INDEX('Running Order'!$E$2:$E$225,B54),0)</f>
        <v>0.000115740740740741</v>
      </c>
      <c r="F54" s="6" t="n">
        <f aca="false">(A54-1)*Summary!$B$5+INDEX('Running Order'!$F$2:$F$225,B54)</f>
        <v>46295.9099652778</v>
      </c>
      <c r="G54" s="6" t="n">
        <f aca="false">F54+E54</f>
        <v>46295.9100810185</v>
      </c>
      <c r="H54" s="24" t="str">
        <f aca="false">IF(INDEX('Running Order'!$B$2:$B$225,B54)="Y","on air","dropped")</f>
        <v>on air</v>
      </c>
      <c r="I54" s="24" t="str">
        <f aca="false">IF(F54&lt;Summary!$B$4+1,"yes","")</f>
        <v>yes</v>
      </c>
    </row>
    <row r="55" customFormat="false" ht="15" hidden="false" customHeight="false" outlineLevel="0" collapsed="false">
      <c r="A55" s="24" t="n">
        <f aca="false">INT((ROW()-2)/Summary!$B$8)+1</f>
        <v>1</v>
      </c>
      <c r="B55" s="24" t="n">
        <f aca="false">MOD(ROW()-2,Summary!$B$8)+1</f>
        <v>54</v>
      </c>
      <c r="C55" s="24" t="str">
        <f aca="false">INDEX('Running Order'!$C$2:$C$225,B55)</f>
        <v>GREEN FIELDS AFRICA LEKKI FARMS</v>
      </c>
      <c r="D55" s="24" t="str">
        <f aca="false">INDEX('Running Order'!$D$2:$D$225,B55)</f>
        <v>Programme</v>
      </c>
      <c r="E55" s="5" t="n">
        <f aca="false">IF(INDEX('Running Order'!$B$2:$B$225,B55)="Y",INDEX('Running Order'!$E$2:$E$225,B55),0)</f>
        <v>0.0167013888888889</v>
      </c>
      <c r="F55" s="6" t="n">
        <f aca="false">(A55-1)*Summary!$B$5+INDEX('Running Order'!$F$2:$F$225,B55)</f>
        <v>46295.9100810185</v>
      </c>
      <c r="G55" s="6" t="n">
        <f aca="false">F55+E55</f>
        <v>46295.9267824074</v>
      </c>
      <c r="H55" s="24" t="str">
        <f aca="false">IF(INDEX('Running Order'!$B$2:$B$225,B55)="Y","on air","dropped")</f>
        <v>on air</v>
      </c>
      <c r="I55" s="24" t="str">
        <f aca="false">IF(F55&lt;Summary!$B$4+1,"yes","")</f>
        <v>yes</v>
      </c>
    </row>
    <row r="56" customFormat="false" ht="15" hidden="false" customHeight="false" outlineLevel="0" collapsed="false">
      <c r="A56" s="24" t="n">
        <f aca="false">INT((ROW()-2)/Summary!$B$8)+1</f>
        <v>1</v>
      </c>
      <c r="B56" s="24" t="n">
        <f aca="false">MOD(ROW()-2,Summary!$B$8)+1</f>
        <v>55</v>
      </c>
      <c r="C56" s="24" t="str">
        <f aca="false">INDEX('Running Order'!$C$2:$C$225,B56)</f>
        <v>TATTSETV COFFE STINGS</v>
      </c>
      <c r="D56" s="24" t="str">
        <f aca="false">INDEX('Running Order'!$D$2:$D$225,B56)</f>
        <v>Sting</v>
      </c>
      <c r="E56" s="5" t="n">
        <f aca="false">IF(INDEX('Running Order'!$B$2:$B$225,B56)="Y",INDEX('Running Order'!$E$2:$E$225,B56),0)</f>
        <v>9.25925925925926E-005</v>
      </c>
      <c r="F56" s="6" t="n">
        <f aca="false">(A56-1)*Summary!$B$5+INDEX('Running Order'!$F$2:$F$225,B56)</f>
        <v>46295.9267824074</v>
      </c>
      <c r="G56" s="6" t="n">
        <f aca="false">F56+E56</f>
        <v>46295.926875</v>
      </c>
      <c r="H56" s="24" t="str">
        <f aca="false">IF(INDEX('Running Order'!$B$2:$B$225,B56)="Y","on air","dropped")</f>
        <v>on air</v>
      </c>
      <c r="I56" s="24" t="str">
        <f aca="false">IF(F56&lt;Summary!$B$4+1,"yes","")</f>
        <v>yes</v>
      </c>
    </row>
    <row r="57" customFormat="false" ht="15" hidden="false" customHeight="false" outlineLevel="0" collapsed="false">
      <c r="A57" s="24" t="n">
        <f aca="false">INT((ROW()-2)/Summary!$B$8)+1</f>
        <v>1</v>
      </c>
      <c r="B57" s="24" t="n">
        <f aca="false">MOD(ROW()-2,Summary!$B$8)+1</f>
        <v>56</v>
      </c>
      <c r="C57" s="24" t="str">
        <f aca="false">INDEX('Running Order'!$C$2:$C$225,B57)</f>
        <v>AMOR AND CUPID</v>
      </c>
      <c r="D57" s="24" t="str">
        <f aca="false">INDEX('Running Order'!$D$2:$D$225,B57)</f>
        <v>Short</v>
      </c>
      <c r="E57" s="5" t="n">
        <f aca="false">IF(INDEX('Running Order'!$B$2:$B$225,B57)="Y",INDEX('Running Order'!$E$2:$E$225,B57),0)</f>
        <v>0.00099537037037037</v>
      </c>
      <c r="F57" s="6" t="n">
        <f aca="false">(A57-1)*Summary!$B$5+INDEX('Running Order'!$F$2:$F$225,B57)</f>
        <v>46295.926875</v>
      </c>
      <c r="G57" s="6" t="n">
        <f aca="false">F57+E57</f>
        <v>46295.9278703704</v>
      </c>
      <c r="H57" s="24" t="str">
        <f aca="false">IF(INDEX('Running Order'!$B$2:$B$225,B57)="Y","on air","dropped")</f>
        <v>on air</v>
      </c>
      <c r="I57" s="24" t="str">
        <f aca="false">IF(F57&lt;Summary!$B$4+1,"yes","")</f>
        <v>yes</v>
      </c>
    </row>
    <row r="58" customFormat="false" ht="15" hidden="false" customHeight="false" outlineLevel="0" collapsed="false">
      <c r="A58" s="24" t="n">
        <f aca="false">INT((ROW()-2)/Summary!$B$8)+1</f>
        <v>1</v>
      </c>
      <c r="B58" s="24" t="n">
        <f aca="false">MOD(ROW()-2,Summary!$B$8)+1</f>
        <v>57</v>
      </c>
      <c r="C58" s="24" t="str">
        <f aca="false">INDEX('Running Order'!$C$2:$C$225,B58)</f>
        <v>KNOR JOLLOF FEST ABUJA</v>
      </c>
      <c r="D58" s="24" t="str">
        <f aca="false">INDEX('Running Order'!$D$2:$D$225,B58)</f>
        <v>Short</v>
      </c>
      <c r="E58" s="5" t="n">
        <f aca="false">IF(INDEX('Running Order'!$B$2:$B$225,B58)="Y",INDEX('Running Order'!$E$2:$E$225,B58),0)</f>
        <v>0.00138888888888889</v>
      </c>
      <c r="F58" s="6" t="n">
        <f aca="false">(A58-1)*Summary!$B$5+INDEX('Running Order'!$F$2:$F$225,B58)</f>
        <v>46295.9278703704</v>
      </c>
      <c r="G58" s="6" t="n">
        <f aca="false">F58+E58</f>
        <v>46295.9292592593</v>
      </c>
      <c r="H58" s="24" t="str">
        <f aca="false">IF(INDEX('Running Order'!$B$2:$B$225,B58)="Y","on air","dropped")</f>
        <v>on air</v>
      </c>
      <c r="I58" s="24" t="str">
        <f aca="false">IF(F58&lt;Summary!$B$4+1,"yes","")</f>
        <v>yes</v>
      </c>
    </row>
    <row r="59" customFormat="false" ht="15" hidden="false" customHeight="false" outlineLevel="0" collapsed="false">
      <c r="A59" s="24" t="n">
        <f aca="false">INT((ROW()-2)/Summary!$B$8)+1</f>
        <v>1</v>
      </c>
      <c r="B59" s="24" t="n">
        <f aca="false">MOD(ROW()-2,Summary!$B$8)+1</f>
        <v>58</v>
      </c>
      <c r="C59" s="24" t="str">
        <f aca="false">INDEX('Running Order'!$C$2:$C$225,B59)</f>
        <v>OLAM ANIMAL FEEDS BUSINESS</v>
      </c>
      <c r="D59" s="24" t="str">
        <f aca="false">INDEX('Running Order'!$D$2:$D$225,B59)</f>
        <v>Programme</v>
      </c>
      <c r="E59" s="5" t="n">
        <f aca="false">IF(INDEX('Running Order'!$B$2:$B$225,B59)="Y",INDEX('Running Order'!$E$2:$E$225,B59),0)</f>
        <v>0.00508101851851852</v>
      </c>
      <c r="F59" s="6" t="n">
        <f aca="false">(A59-1)*Summary!$B$5+INDEX('Running Order'!$F$2:$F$225,B59)</f>
        <v>46295.9292592593</v>
      </c>
      <c r="G59" s="6" t="n">
        <f aca="false">F59+E59</f>
        <v>46295.9343402778</v>
      </c>
      <c r="H59" s="24" t="str">
        <f aca="false">IF(INDEX('Running Order'!$B$2:$B$225,B59)="Y","on air","dropped")</f>
        <v>on air</v>
      </c>
      <c r="I59" s="24" t="str">
        <f aca="false">IF(F59&lt;Summary!$B$4+1,"yes","")</f>
        <v>yes</v>
      </c>
    </row>
    <row r="60" customFormat="false" ht="15" hidden="false" customHeight="false" outlineLevel="0" collapsed="false">
      <c r="A60" s="24" t="n">
        <f aca="false">INT((ROW()-2)/Summary!$B$8)+1</f>
        <v>1</v>
      </c>
      <c r="B60" s="24" t="n">
        <f aca="false">MOD(ROW()-2,Summary!$B$8)+1</f>
        <v>59</v>
      </c>
      <c r="C60" s="24" t="str">
        <f aca="false">INDEX('Running Order'!$C$2:$C$225,B60)</f>
        <v>CHANNEL STINGS</v>
      </c>
      <c r="D60" s="24" t="str">
        <f aca="false">INDEX('Running Order'!$D$2:$D$225,B60)</f>
        <v>Sting</v>
      </c>
      <c r="E60" s="5" t="n">
        <f aca="false">IF(INDEX('Running Order'!$B$2:$B$225,B60)="Y",INDEX('Running Order'!$E$2:$E$225,B60),0)</f>
        <v>6.94444444444444E-005</v>
      </c>
      <c r="F60" s="6" t="n">
        <f aca="false">(A60-1)*Summary!$B$5+INDEX('Running Order'!$F$2:$F$225,B60)</f>
        <v>46295.9343402778</v>
      </c>
      <c r="G60" s="6" t="n">
        <f aca="false">F60+E60</f>
        <v>46295.9344097222</v>
      </c>
      <c r="H60" s="24" t="str">
        <f aca="false">IF(INDEX('Running Order'!$B$2:$B$225,B60)="Y","on air","dropped")</f>
        <v>on air</v>
      </c>
      <c r="I60" s="24" t="str">
        <f aca="false">IF(F60&lt;Summary!$B$4+1,"yes","")</f>
        <v>yes</v>
      </c>
    </row>
    <row r="61" customFormat="false" ht="15" hidden="false" customHeight="false" outlineLevel="0" collapsed="false">
      <c r="A61" s="24" t="n">
        <f aca="false">INT((ROW()-2)/Summary!$B$8)+1</f>
        <v>1</v>
      </c>
      <c r="B61" s="24" t="n">
        <f aca="false">MOD(ROW()-2,Summary!$B$8)+1</f>
        <v>60</v>
      </c>
      <c r="C61" s="24" t="str">
        <f aca="false">INDEX('Running Order'!$C$2:$C$225,B61)</f>
        <v>ORAL B VALUE NEW</v>
      </c>
      <c r="D61" s="24" t="str">
        <f aca="false">INDEX('Running Order'!$D$2:$D$225,B61)</f>
        <v>Commercial</v>
      </c>
      <c r="E61" s="5" t="n">
        <f aca="false">IF(INDEX('Running Order'!$B$2:$B$225,B61)="Y",INDEX('Running Order'!$E$2:$E$225,B61),0)</f>
        <v>0.000347222222222222</v>
      </c>
      <c r="F61" s="6" t="n">
        <f aca="false">(A61-1)*Summary!$B$5+INDEX('Running Order'!$F$2:$F$225,B61)</f>
        <v>46295.9344097222</v>
      </c>
      <c r="G61" s="6" t="n">
        <f aca="false">F61+E61</f>
        <v>46295.9347569444</v>
      </c>
      <c r="H61" s="24" t="str">
        <f aca="false">IF(INDEX('Running Order'!$B$2:$B$225,B61)="Y","on air","dropped")</f>
        <v>on air</v>
      </c>
      <c r="I61" s="24" t="str">
        <f aca="false">IF(F61&lt;Summary!$B$4+1,"yes","")</f>
        <v>yes</v>
      </c>
    </row>
    <row r="62" customFormat="false" ht="15" hidden="false" customHeight="false" outlineLevel="0" collapsed="false">
      <c r="A62" s="24" t="n">
        <f aca="false">INT((ROW()-2)/Summary!$B$8)+1</f>
        <v>1</v>
      </c>
      <c r="B62" s="24" t="n">
        <f aca="false">MOD(ROW()-2,Summary!$B$8)+1</f>
        <v>61</v>
      </c>
      <c r="C62" s="24" t="str">
        <f aca="false">INDEX('Running Order'!$C$2:$C$225,B62)</f>
        <v>TERRA CUBE COMMERCIAL</v>
      </c>
      <c r="D62" s="24" t="str">
        <f aca="false">INDEX('Running Order'!$D$2:$D$225,B62)</f>
        <v>Commercial</v>
      </c>
      <c r="E62" s="5" t="n">
        <f aca="false">IF(INDEX('Running Order'!$B$2:$B$225,B62)="Y",INDEX('Running Order'!$E$2:$E$225,B62),0)</f>
        <v>0.000694444444444445</v>
      </c>
      <c r="F62" s="6" t="n">
        <f aca="false">(A62-1)*Summary!$B$5+INDEX('Running Order'!$F$2:$F$225,B62)</f>
        <v>46295.9347569444</v>
      </c>
      <c r="G62" s="6" t="n">
        <f aca="false">F62+E62</f>
        <v>46295.9354513889</v>
      </c>
      <c r="H62" s="24" t="str">
        <f aca="false">IF(INDEX('Running Order'!$B$2:$B$225,B62)="Y","on air","dropped")</f>
        <v>on air</v>
      </c>
      <c r="I62" s="24" t="str">
        <f aca="false">IF(F62&lt;Summary!$B$4+1,"yes","")</f>
        <v>yes</v>
      </c>
    </row>
    <row r="63" customFormat="false" ht="15" hidden="false" customHeight="false" outlineLevel="0" collapsed="false">
      <c r="A63" s="24" t="n">
        <f aca="false">INT((ROW()-2)/Summary!$B$8)+1</f>
        <v>1</v>
      </c>
      <c r="B63" s="24" t="n">
        <f aca="false">MOD(ROW()-2,Summary!$B$8)+1</f>
        <v>62</v>
      </c>
      <c r="C63" s="24" t="str">
        <f aca="false">INDEX('Running Order'!$C$2:$C$225,B63)</f>
        <v>CHANNEL MONTAGE</v>
      </c>
      <c r="D63" s="24" t="str">
        <f aca="false">INDEX('Running Order'!$D$2:$D$225,B63)</f>
        <v>Montage</v>
      </c>
      <c r="E63" s="5" t="n">
        <f aca="false">IF(INDEX('Running Order'!$B$2:$B$225,B63)="Y",INDEX('Running Order'!$E$2:$E$225,B63),0)</f>
        <v>0.000115740740740741</v>
      </c>
      <c r="F63" s="6" t="n">
        <f aca="false">(A63-1)*Summary!$B$5+INDEX('Running Order'!$F$2:$F$225,B63)</f>
        <v>46295.9354513889</v>
      </c>
      <c r="G63" s="6" t="n">
        <f aca="false">F63+E63</f>
        <v>46295.9355671296</v>
      </c>
      <c r="H63" s="24" t="str">
        <f aca="false">IF(INDEX('Running Order'!$B$2:$B$225,B63)="Y","on air","dropped")</f>
        <v>on air</v>
      </c>
      <c r="I63" s="24" t="str">
        <f aca="false">IF(F63&lt;Summary!$B$4+1,"yes","")</f>
        <v>yes</v>
      </c>
    </row>
    <row r="64" customFormat="false" ht="15" hidden="false" customHeight="false" outlineLevel="0" collapsed="false">
      <c r="A64" s="24" t="n">
        <f aca="false">INT((ROW()-2)/Summary!$B$8)+1</f>
        <v>1</v>
      </c>
      <c r="B64" s="24" t="n">
        <f aca="false">MOD(ROW()-2,Summary!$B$8)+1</f>
        <v>63</v>
      </c>
      <c r="C64" s="24" t="str">
        <f aca="false">INDEX('Running Order'!$C$2:$C$225,B64)</f>
        <v>BREAKFAST AFRICA</v>
      </c>
      <c r="D64" s="24" t="str">
        <f aca="false">INDEX('Running Order'!$D$2:$D$225,B64)</f>
        <v>Short</v>
      </c>
      <c r="E64" s="5" t="n">
        <f aca="false">IF(INDEX('Running Order'!$B$2:$B$225,B64)="Y",INDEX('Running Order'!$E$2:$E$225,B64),0)</f>
        <v>0.000439814814814815</v>
      </c>
      <c r="F64" s="6" t="n">
        <f aca="false">(A64-1)*Summary!$B$5+INDEX('Running Order'!$F$2:$F$225,B64)</f>
        <v>46295.9355671296</v>
      </c>
      <c r="G64" s="6" t="n">
        <f aca="false">F64+E64</f>
        <v>46295.9360069444</v>
      </c>
      <c r="H64" s="24" t="str">
        <f aca="false">IF(INDEX('Running Order'!$B$2:$B$225,B64)="Y","on air","dropped")</f>
        <v>on air</v>
      </c>
      <c r="I64" s="24" t="str">
        <f aca="false">IF(F64&lt;Summary!$B$4+1,"yes","")</f>
        <v>yes</v>
      </c>
    </row>
    <row r="65" customFormat="false" ht="15" hidden="false" customHeight="false" outlineLevel="0" collapsed="false">
      <c r="A65" s="24" t="n">
        <f aca="false">INT((ROW()-2)/Summary!$B$8)+1</f>
        <v>1</v>
      </c>
      <c r="B65" s="24" t="n">
        <f aca="false">MOD(ROW()-2,Summary!$B$8)+1</f>
        <v>64</v>
      </c>
      <c r="C65" s="24" t="str">
        <f aca="false">INDEX('Running Order'!$C$2:$C$225,B65)</f>
        <v>LUNCH BOX COMING SOON</v>
      </c>
      <c r="D65" s="24" t="str">
        <f aca="false">INDEX('Running Order'!$D$2:$D$225,B65)</f>
        <v>Promo</v>
      </c>
      <c r="E65" s="5" t="n">
        <f aca="false">IF(INDEX('Running Order'!$B$2:$B$225,B65)="Y",INDEX('Running Order'!$E$2:$E$225,B65),0)</f>
        <v>0.000277777777777778</v>
      </c>
      <c r="F65" s="6" t="n">
        <f aca="false">(A65-1)*Summary!$B$5+INDEX('Running Order'!$F$2:$F$225,B65)</f>
        <v>46295.9360069444</v>
      </c>
      <c r="G65" s="6" t="n">
        <f aca="false">F65+E65</f>
        <v>46295.9362847222</v>
      </c>
      <c r="H65" s="24" t="str">
        <f aca="false">IF(INDEX('Running Order'!$B$2:$B$225,B65)="Y","on air","dropped")</f>
        <v>on air</v>
      </c>
      <c r="I65" s="24" t="str">
        <f aca="false">IF(F65&lt;Summary!$B$4+1,"yes","")</f>
        <v>yes</v>
      </c>
    </row>
    <row r="66" customFormat="false" ht="15" hidden="false" customHeight="false" outlineLevel="0" collapsed="false">
      <c r="A66" s="24" t="n">
        <f aca="false">INT((ROW()-2)/Summary!$B$8)+1</f>
        <v>1</v>
      </c>
      <c r="B66" s="24" t="n">
        <f aca="false">MOD(ROW()-2,Summary!$B$8)+1</f>
        <v>65</v>
      </c>
      <c r="C66" s="24" t="str">
        <f aca="false">INDEX('Running Order'!$C$2:$C$225,B66)</f>
        <v>GTCO FOOD&amp;DRINK FOR TV3</v>
      </c>
      <c r="D66" s="24" t="str">
        <f aca="false">INDEX('Running Order'!$D$2:$D$225,B66)</f>
        <v>Short</v>
      </c>
      <c r="E66" s="5" t="n">
        <f aca="false">IF(INDEX('Running Order'!$B$2:$B$225,B66)="Y",INDEX('Running Order'!$E$2:$E$225,B66),0)</f>
        <v>0.00152777777777778</v>
      </c>
      <c r="F66" s="6" t="n">
        <f aca="false">(A66-1)*Summary!$B$5+INDEX('Running Order'!$F$2:$F$225,B66)</f>
        <v>46295.9362847222</v>
      </c>
      <c r="G66" s="6" t="n">
        <f aca="false">F66+E66</f>
        <v>46295.9378125</v>
      </c>
      <c r="H66" s="24" t="str">
        <f aca="false">IF(INDEX('Running Order'!$B$2:$B$225,B66)="Y","on air","dropped")</f>
        <v>on air</v>
      </c>
      <c r="I66" s="24" t="str">
        <f aca="false">IF(F66&lt;Summary!$B$4+1,"yes","")</f>
        <v>yes</v>
      </c>
    </row>
    <row r="67" customFormat="false" ht="15" hidden="false" customHeight="false" outlineLevel="0" collapsed="false">
      <c r="A67" s="24" t="n">
        <f aca="false">INT((ROW()-2)/Summary!$B$8)+1</f>
        <v>1</v>
      </c>
      <c r="B67" s="24" t="n">
        <f aca="false">MOD(ROW()-2,Summary!$B$8)+1</f>
        <v>66</v>
      </c>
      <c r="C67" s="24" t="str">
        <f aca="false">INDEX('Running Order'!$C$2:$C$225,B67)</f>
        <v>TATTASE TV STING</v>
      </c>
      <c r="D67" s="24" t="str">
        <f aca="false">INDEX('Running Order'!$D$2:$D$225,B67)</f>
        <v>Sting</v>
      </c>
      <c r="E67" s="5" t="n">
        <f aca="false">IF(INDEX('Running Order'!$B$2:$B$225,B67)="Y",INDEX('Running Order'!$E$2:$E$225,B67),0)</f>
        <v>6.94444444444444E-005</v>
      </c>
      <c r="F67" s="6" t="n">
        <f aca="false">(A67-1)*Summary!$B$5+INDEX('Running Order'!$F$2:$F$225,B67)</f>
        <v>46295.9378125</v>
      </c>
      <c r="G67" s="6" t="n">
        <f aca="false">F67+E67</f>
        <v>46295.9378819445</v>
      </c>
      <c r="H67" s="24" t="str">
        <f aca="false">IF(INDEX('Running Order'!$B$2:$B$225,B67)="Y","on air","dropped")</f>
        <v>on air</v>
      </c>
      <c r="I67" s="24" t="str">
        <f aca="false">IF(F67&lt;Summary!$B$4+1,"yes","")</f>
        <v>yes</v>
      </c>
    </row>
    <row r="68" customFormat="false" ht="15" hidden="false" customHeight="false" outlineLevel="0" collapsed="false">
      <c r="A68" s="24" t="n">
        <f aca="false">INT((ROW()-2)/Summary!$B$8)+1</f>
        <v>1</v>
      </c>
      <c r="B68" s="24" t="n">
        <f aca="false">MOD(ROW()-2,Summary!$B$8)+1</f>
        <v>67</v>
      </c>
      <c r="C68" s="24" t="str">
        <f aca="false">INDEX('Running Order'!$C$2:$C$225,B68)</f>
        <v>BEST TIMES TO HAVE BREAKFAST, LUNCH &amp; DINNER</v>
      </c>
      <c r="D68" s="24" t="str">
        <f aca="false">INDEX('Running Order'!$D$2:$D$225,B68)</f>
        <v>Programme</v>
      </c>
      <c r="E68" s="5" t="n">
        <f aca="false">IF(INDEX('Running Order'!$B$2:$B$225,B68)="Y",INDEX('Running Order'!$E$2:$E$225,B68),0)</f>
        <v>0.0158680555555556</v>
      </c>
      <c r="F68" s="6" t="n">
        <f aca="false">(A68-1)*Summary!$B$5+INDEX('Running Order'!$F$2:$F$225,B68)</f>
        <v>46295.9378819445</v>
      </c>
      <c r="G68" s="6" t="n">
        <f aca="false">F68+E68</f>
        <v>46295.95375</v>
      </c>
      <c r="H68" s="24" t="str">
        <f aca="false">IF(INDEX('Running Order'!$B$2:$B$225,B68)="Y","on air","dropped")</f>
        <v>on air</v>
      </c>
      <c r="I68" s="24" t="str">
        <f aca="false">IF(F68&lt;Summary!$B$4+1,"yes","")</f>
        <v>yes</v>
      </c>
    </row>
    <row r="69" customFormat="false" ht="15" hidden="false" customHeight="false" outlineLevel="0" collapsed="false">
      <c r="A69" s="24" t="n">
        <f aca="false">INT((ROW()-2)/Summary!$B$8)+1</f>
        <v>1</v>
      </c>
      <c r="B69" s="24" t="n">
        <f aca="false">MOD(ROW()-2,Summary!$B$8)+1</f>
        <v>68</v>
      </c>
      <c r="C69" s="24" t="str">
        <f aca="false">INDEX('Running Order'!$C$2:$C$225,B69)</f>
        <v>HALAL EXPO FOR TV</v>
      </c>
      <c r="D69" s="24" t="str">
        <f aca="false">INDEX('Running Order'!$D$2:$D$225,B69)</f>
        <v>Short</v>
      </c>
      <c r="E69" s="5" t="n">
        <f aca="false">IF(INDEX('Running Order'!$B$2:$B$225,B69)="Y",INDEX('Running Order'!$E$2:$E$225,B69),0)</f>
        <v>0.000543981481481481</v>
      </c>
      <c r="F69" s="6" t="n">
        <f aca="false">(A69-1)*Summary!$B$5+INDEX('Running Order'!$F$2:$F$225,B69)</f>
        <v>46295.95375</v>
      </c>
      <c r="G69" s="6" t="n">
        <f aca="false">F69+E69</f>
        <v>46295.9542939815</v>
      </c>
      <c r="H69" s="24" t="str">
        <f aca="false">IF(INDEX('Running Order'!$B$2:$B$225,B69)="Y","on air","dropped")</f>
        <v>on air</v>
      </c>
      <c r="I69" s="24" t="str">
        <f aca="false">IF(F69&lt;Summary!$B$4+1,"yes","")</f>
        <v>yes</v>
      </c>
    </row>
    <row r="70" customFormat="false" ht="15" hidden="false" customHeight="false" outlineLevel="0" collapsed="false">
      <c r="A70" s="24" t="n">
        <f aca="false">INT((ROW()-2)/Summary!$B$8)+1</f>
        <v>1</v>
      </c>
      <c r="B70" s="24" t="n">
        <f aca="false">MOD(ROW()-2,Summary!$B$8)+1</f>
        <v>69</v>
      </c>
      <c r="C70" s="24" t="str">
        <f aca="false">INDEX('Running Order'!$C$2:$C$225,B70)</f>
        <v>CHANNEL MONTAGE</v>
      </c>
      <c r="D70" s="24" t="str">
        <f aca="false">INDEX('Running Order'!$D$2:$D$225,B70)</f>
        <v>Montage</v>
      </c>
      <c r="E70" s="5" t="n">
        <f aca="false">IF(INDEX('Running Order'!$B$2:$B$225,B70)="Y",INDEX('Running Order'!$E$2:$E$225,B70),0)</f>
        <v>0.000115740740740741</v>
      </c>
      <c r="F70" s="6" t="n">
        <f aca="false">(A70-1)*Summary!$B$5+INDEX('Running Order'!$F$2:$F$225,B70)</f>
        <v>46295.9542939815</v>
      </c>
      <c r="G70" s="6" t="n">
        <f aca="false">F70+E70</f>
        <v>46295.9544097222</v>
      </c>
      <c r="H70" s="24" t="str">
        <f aca="false">IF(INDEX('Running Order'!$B$2:$B$225,B70)="Y","on air","dropped")</f>
        <v>on air</v>
      </c>
      <c r="I70" s="24" t="str">
        <f aca="false">IF(F70&lt;Summary!$B$4+1,"yes","")</f>
        <v>yes</v>
      </c>
    </row>
    <row r="71" customFormat="false" ht="15" hidden="false" customHeight="false" outlineLevel="0" collapsed="false">
      <c r="A71" s="24" t="n">
        <f aca="false">INT((ROW()-2)/Summary!$B$8)+1</f>
        <v>1</v>
      </c>
      <c r="B71" s="24" t="n">
        <f aca="false">MOD(ROW()-2,Summary!$B$8)+1</f>
        <v>70</v>
      </c>
      <c r="C71" s="24" t="str">
        <f aca="false">INDEX('Running Order'!$C$2:$C$225,B71)</f>
        <v>DANO N HILDA COMMERCIAL</v>
      </c>
      <c r="D71" s="24" t="str">
        <f aca="false">INDEX('Running Order'!$D$2:$D$225,B71)</f>
        <v>Commercial</v>
      </c>
      <c r="E71" s="5" t="n">
        <f aca="false">IF(INDEX('Running Order'!$B$2:$B$225,B71)="Y",INDEX('Running Order'!$E$2:$E$225,B71),0)</f>
        <v>0.00099537037037037</v>
      </c>
      <c r="F71" s="6" t="n">
        <f aca="false">(A71-1)*Summary!$B$5+INDEX('Running Order'!$F$2:$F$225,B71)</f>
        <v>46295.9544097222</v>
      </c>
      <c r="G71" s="6" t="n">
        <f aca="false">F71+E71</f>
        <v>46295.9554050926</v>
      </c>
      <c r="H71" s="24" t="str">
        <f aca="false">IF(INDEX('Running Order'!$B$2:$B$225,B71)="Y","on air","dropped")</f>
        <v>on air</v>
      </c>
      <c r="I71" s="24" t="str">
        <f aca="false">IF(F71&lt;Summary!$B$4+1,"yes","")</f>
        <v>yes</v>
      </c>
    </row>
    <row r="72" customFormat="false" ht="15" hidden="false" customHeight="false" outlineLevel="0" collapsed="false">
      <c r="A72" s="24" t="n">
        <f aca="false">INT((ROW()-2)/Summary!$B$8)+1</f>
        <v>1</v>
      </c>
      <c r="B72" s="24" t="n">
        <f aca="false">MOD(ROW()-2,Summary!$B$8)+1</f>
        <v>71</v>
      </c>
      <c r="C72" s="24" t="str">
        <f aca="false">INDEX('Running Order'!$C$2:$C$225,B72)</f>
        <v>COCA-COLA RECPE FOR WONDER</v>
      </c>
      <c r="D72" s="24" t="str">
        <f aca="false">INDEX('Running Order'!$D$2:$D$225,B72)</f>
        <v>Short</v>
      </c>
      <c r="E72" s="5" t="n">
        <f aca="false">IF(INDEX('Running Order'!$B$2:$B$225,B72)="Y",INDEX('Running Order'!$E$2:$E$225,B72),0)</f>
        <v>0.000347222222222222</v>
      </c>
      <c r="F72" s="6" t="n">
        <f aca="false">(A72-1)*Summary!$B$5+INDEX('Running Order'!$F$2:$F$225,B72)</f>
        <v>46295.9554050926</v>
      </c>
      <c r="G72" s="6" t="n">
        <f aca="false">F72+E72</f>
        <v>46295.9557523148</v>
      </c>
      <c r="H72" s="24" t="str">
        <f aca="false">IF(INDEX('Running Order'!$B$2:$B$225,B72)="Y","on air","dropped")</f>
        <v>on air</v>
      </c>
      <c r="I72" s="24" t="str">
        <f aca="false">IF(F72&lt;Summary!$B$4+1,"yes","")</f>
        <v>yes</v>
      </c>
    </row>
    <row r="73" customFormat="false" ht="15" hidden="false" customHeight="false" outlineLevel="0" collapsed="false">
      <c r="A73" s="24" t="n">
        <f aca="false">INT((ROW()-2)/Summary!$B$8)+1</f>
        <v>1</v>
      </c>
      <c r="B73" s="24" t="n">
        <f aca="false">MOD(ROW()-2,Summary!$B$8)+1</f>
        <v>72</v>
      </c>
      <c r="C73" s="24" t="str">
        <f aca="false">INDEX('Running Order'!$C$2:$C$225,B73)</f>
        <v>FOOD MARTS</v>
      </c>
      <c r="D73" s="24" t="str">
        <f aca="false">INDEX('Running Order'!$D$2:$D$225,B73)</f>
        <v>Short</v>
      </c>
      <c r="E73" s="5" t="n">
        <f aca="false">IF(INDEX('Running Order'!$B$2:$B$225,B73)="Y",INDEX('Running Order'!$E$2:$E$225,B73),0)</f>
        <v>0.000428240740740741</v>
      </c>
      <c r="F73" s="6" t="n">
        <f aca="false">(A73-1)*Summary!$B$5+INDEX('Running Order'!$F$2:$F$225,B73)</f>
        <v>46295.9557523148</v>
      </c>
      <c r="G73" s="6" t="n">
        <f aca="false">F73+E73</f>
        <v>46295.9561805556</v>
      </c>
      <c r="H73" s="24" t="str">
        <f aca="false">IF(INDEX('Running Order'!$B$2:$B$225,B73)="Y","on air","dropped")</f>
        <v>on air</v>
      </c>
      <c r="I73" s="24" t="str">
        <f aca="false">IF(F73&lt;Summary!$B$4+1,"yes","")</f>
        <v>yes</v>
      </c>
    </row>
    <row r="74" customFormat="false" ht="15" hidden="false" customHeight="false" outlineLevel="0" collapsed="false">
      <c r="A74" s="24" t="n">
        <f aca="false">INT((ROW()-2)/Summary!$B$8)+1</f>
        <v>1</v>
      </c>
      <c r="B74" s="24" t="n">
        <f aca="false">MOD(ROW()-2,Summary!$B$8)+1</f>
        <v>73</v>
      </c>
      <c r="C74" s="24" t="str">
        <f aca="false">INDEX('Running Order'!$C$2:$C$225,B74)</f>
        <v>TATTASE TV STING</v>
      </c>
      <c r="D74" s="24" t="str">
        <f aca="false">INDEX('Running Order'!$D$2:$D$225,B74)</f>
        <v>Sting</v>
      </c>
      <c r="E74" s="5" t="n">
        <f aca="false">IF(INDEX('Running Order'!$B$2:$B$225,B74)="Y",INDEX('Running Order'!$E$2:$E$225,B74),0)</f>
        <v>6.94444444444444E-005</v>
      </c>
      <c r="F74" s="6" t="n">
        <f aca="false">(A74-1)*Summary!$B$5+INDEX('Running Order'!$F$2:$F$225,B74)</f>
        <v>46295.9561805556</v>
      </c>
      <c r="G74" s="6" t="n">
        <f aca="false">F74+E74</f>
        <v>46295.95625</v>
      </c>
      <c r="H74" s="24" t="str">
        <f aca="false">IF(INDEX('Running Order'!$B$2:$B$225,B74)="Y","on air","dropped")</f>
        <v>on air</v>
      </c>
      <c r="I74" s="24" t="str">
        <f aca="false">IF(F74&lt;Summary!$B$4+1,"yes","")</f>
        <v>yes</v>
      </c>
    </row>
    <row r="75" customFormat="false" ht="15" hidden="false" customHeight="false" outlineLevel="0" collapsed="false">
      <c r="A75" s="24" t="n">
        <f aca="false">INT((ROW()-2)/Summary!$B$8)+1</f>
        <v>1</v>
      </c>
      <c r="B75" s="24" t="n">
        <f aca="false">MOD(ROW()-2,Summary!$B$8)+1</f>
        <v>74</v>
      </c>
      <c r="C75" s="24" t="str">
        <f aca="false">INDEX('Running Order'!$C$2:$C$225,B75)</f>
        <v>COOL KIDS CAN COOK</v>
      </c>
      <c r="D75" s="24" t="str">
        <f aca="false">INDEX('Running Order'!$D$2:$D$225,B75)</f>
        <v>Programme</v>
      </c>
      <c r="E75" s="5" t="n">
        <f aca="false">IF(INDEX('Running Order'!$B$2:$B$225,B75)="Y",INDEX('Running Order'!$E$2:$E$225,B75),0)</f>
        <v>0.00424768518518519</v>
      </c>
      <c r="F75" s="6" t="n">
        <f aca="false">(A75-1)*Summary!$B$5+INDEX('Running Order'!$F$2:$F$225,B75)</f>
        <v>46295.95625</v>
      </c>
      <c r="G75" s="6" t="n">
        <f aca="false">F75+E75</f>
        <v>46295.9604976852</v>
      </c>
      <c r="H75" s="24" t="str">
        <f aca="false">IF(INDEX('Running Order'!$B$2:$B$225,B75)="Y","on air","dropped")</f>
        <v>on air</v>
      </c>
      <c r="I75" s="24" t="str">
        <f aca="false">IF(F75&lt;Summary!$B$4+1,"yes","")</f>
        <v>yes</v>
      </c>
    </row>
    <row r="76" customFormat="false" ht="15" hidden="false" customHeight="false" outlineLevel="0" collapsed="false">
      <c r="A76" s="24" t="n">
        <f aca="false">INT((ROW()-2)/Summary!$B$8)+1</f>
        <v>1</v>
      </c>
      <c r="B76" s="24" t="n">
        <f aca="false">MOD(ROW()-2,Summary!$B$8)+1</f>
        <v>75</v>
      </c>
      <c r="C76" s="24" t="str">
        <f aca="false">INDEX('Running Order'!$C$2:$C$225,B76)</f>
        <v>SHAYO AFRICA</v>
      </c>
      <c r="D76" s="24" t="str">
        <f aca="false">INDEX('Running Order'!$D$2:$D$225,B76)</f>
        <v>Short</v>
      </c>
      <c r="E76" s="5" t="n">
        <f aca="false">IF(INDEX('Running Order'!$B$2:$B$225,B76)="Y",INDEX('Running Order'!$E$2:$E$225,B76),0)</f>
        <v>0.000347222222222222</v>
      </c>
      <c r="F76" s="6" t="n">
        <f aca="false">(A76-1)*Summary!$B$5+INDEX('Running Order'!$F$2:$F$225,B76)</f>
        <v>46295.9604976852</v>
      </c>
      <c r="G76" s="6" t="n">
        <f aca="false">F76+E76</f>
        <v>46295.9608449074</v>
      </c>
      <c r="H76" s="24" t="str">
        <f aca="false">IF(INDEX('Running Order'!$B$2:$B$225,B76)="Y","on air","dropped")</f>
        <v>on air</v>
      </c>
      <c r="I76" s="24" t="str">
        <f aca="false">IF(F76&lt;Summary!$B$4+1,"yes","")</f>
        <v>yes</v>
      </c>
    </row>
    <row r="77" customFormat="false" ht="15" hidden="false" customHeight="false" outlineLevel="0" collapsed="false">
      <c r="A77" s="24" t="n">
        <f aca="false">INT((ROW()-2)/Summary!$B$8)+1</f>
        <v>1</v>
      </c>
      <c r="B77" s="24" t="n">
        <f aca="false">MOD(ROW()-2,Summary!$B$8)+1</f>
        <v>76</v>
      </c>
      <c r="C77" s="24" t="str">
        <f aca="false">INDEX('Running Order'!$C$2:$C$225,B77)</f>
        <v>FOODPRENEUR</v>
      </c>
      <c r="D77" s="24" t="str">
        <f aca="false">INDEX('Running Order'!$D$2:$D$225,B77)</f>
        <v>Short</v>
      </c>
      <c r="E77" s="5" t="n">
        <f aca="false">IF(INDEX('Running Order'!$B$2:$B$225,B77)="Y",INDEX('Running Order'!$E$2:$E$225,B77),0)</f>
        <v>0.000347222222222222</v>
      </c>
      <c r="F77" s="6" t="n">
        <f aca="false">(A77-1)*Summary!$B$5+INDEX('Running Order'!$F$2:$F$225,B77)</f>
        <v>46295.9608449074</v>
      </c>
      <c r="G77" s="6" t="n">
        <f aca="false">F77+E77</f>
        <v>46295.9611921296</v>
      </c>
      <c r="H77" s="24" t="str">
        <f aca="false">IF(INDEX('Running Order'!$B$2:$B$225,B77)="Y","on air","dropped")</f>
        <v>on air</v>
      </c>
      <c r="I77" s="24" t="str">
        <f aca="false">IF(F77&lt;Summary!$B$4+1,"yes","")</f>
        <v>yes</v>
      </c>
    </row>
    <row r="78" customFormat="false" ht="15" hidden="false" customHeight="false" outlineLevel="0" collapsed="false">
      <c r="A78" s="24" t="n">
        <f aca="false">INT((ROW()-2)/Summary!$B$8)+1</f>
        <v>1</v>
      </c>
      <c r="B78" s="24" t="n">
        <f aca="false">MOD(ROW()-2,Summary!$B$8)+1</f>
        <v>77</v>
      </c>
      <c r="C78" s="24" t="str">
        <f aca="false">INDEX('Running Order'!$C$2:$C$225,B78)</f>
        <v>TATTASETV COFFEE STING</v>
      </c>
      <c r="D78" s="24" t="str">
        <f aca="false">INDEX('Running Order'!$D$2:$D$225,B78)</f>
        <v>Sting</v>
      </c>
      <c r="E78" s="5" t="n">
        <f aca="false">IF(INDEX('Running Order'!$B$2:$B$225,B78)="Y",INDEX('Running Order'!$E$2:$E$225,B78),0)</f>
        <v>6.94444444444444E-005</v>
      </c>
      <c r="F78" s="6" t="n">
        <f aca="false">(A78-1)*Summary!$B$5+INDEX('Running Order'!$F$2:$F$225,B78)</f>
        <v>46295.9611921296</v>
      </c>
      <c r="G78" s="6" t="n">
        <f aca="false">F78+E78</f>
        <v>46295.9612615741</v>
      </c>
      <c r="H78" s="24" t="str">
        <f aca="false">IF(INDEX('Running Order'!$B$2:$B$225,B78)="Y","on air","dropped")</f>
        <v>on air</v>
      </c>
      <c r="I78" s="24" t="str">
        <f aca="false">IF(F78&lt;Summary!$B$4+1,"yes","")</f>
        <v>yes</v>
      </c>
    </row>
    <row r="79" customFormat="false" ht="15" hidden="false" customHeight="false" outlineLevel="0" collapsed="false">
      <c r="A79" s="24" t="n">
        <f aca="false">INT((ROW()-2)/Summary!$B$8)+1</f>
        <v>1</v>
      </c>
      <c r="B79" s="24" t="n">
        <f aca="false">MOD(ROW()-2,Summary!$B$8)+1</f>
        <v>78</v>
      </c>
      <c r="C79" s="24" t="str">
        <f aca="false">INDEX('Running Order'!$C$2:$C$225,B79)</f>
        <v>CHANNEL MONTAGE</v>
      </c>
      <c r="D79" s="24" t="str">
        <f aca="false">INDEX('Running Order'!$D$2:$D$225,B79)</f>
        <v>Montage</v>
      </c>
      <c r="E79" s="5" t="n">
        <f aca="false">IF(INDEX('Running Order'!$B$2:$B$225,B79)="Y",INDEX('Running Order'!$E$2:$E$225,B79),0)</f>
        <v>0.000115740740740741</v>
      </c>
      <c r="F79" s="6" t="n">
        <f aca="false">(A79-1)*Summary!$B$5+INDEX('Running Order'!$F$2:$F$225,B79)</f>
        <v>46295.9612615741</v>
      </c>
      <c r="G79" s="6" t="n">
        <f aca="false">F79+E79</f>
        <v>46295.9613773148</v>
      </c>
      <c r="H79" s="24" t="str">
        <f aca="false">IF(INDEX('Running Order'!$B$2:$B$225,B79)="Y","on air","dropped")</f>
        <v>on air</v>
      </c>
      <c r="I79" s="24" t="str">
        <f aca="false">IF(F79&lt;Summary!$B$4+1,"yes","")</f>
        <v>yes</v>
      </c>
    </row>
    <row r="80" customFormat="false" ht="15" hidden="false" customHeight="false" outlineLevel="0" collapsed="false">
      <c r="A80" s="24" t="n">
        <f aca="false">INT((ROW()-2)/Summary!$B$8)+1</f>
        <v>1</v>
      </c>
      <c r="B80" s="24" t="n">
        <f aca="false">MOD(ROW()-2,Summary!$B$8)+1</f>
        <v>79</v>
      </c>
      <c r="C80" s="24" t="str">
        <f aca="false">INDEX('Running Order'!$C$2:$C$225,B80)</f>
        <v>HOW TO MAKE JOLLOF RICE THE NAIJA WAY</v>
      </c>
      <c r="D80" s="24" t="str">
        <f aca="false">INDEX('Running Order'!$D$2:$D$225,B80)</f>
        <v>Short</v>
      </c>
      <c r="E80" s="5" t="n">
        <f aca="false">IF(INDEX('Running Order'!$B$2:$B$225,B80)="Y",INDEX('Running Order'!$E$2:$E$225,B80),0)</f>
        <v>0.000694444444444445</v>
      </c>
      <c r="F80" s="6" t="n">
        <f aca="false">(A80-1)*Summary!$B$5+INDEX('Running Order'!$F$2:$F$225,B80)</f>
        <v>46295.9613773148</v>
      </c>
      <c r="G80" s="6" t="n">
        <f aca="false">F80+E80</f>
        <v>46295.9620717593</v>
      </c>
      <c r="H80" s="24" t="str">
        <f aca="false">IF(INDEX('Running Order'!$B$2:$B$225,B80)="Y","on air","dropped")</f>
        <v>on air</v>
      </c>
      <c r="I80" s="24" t="str">
        <f aca="false">IF(F80&lt;Summary!$B$4+1,"yes","")</f>
        <v>yes</v>
      </c>
    </row>
    <row r="81" customFormat="false" ht="15" hidden="false" customHeight="false" outlineLevel="0" collapsed="false">
      <c r="A81" s="24" t="n">
        <f aca="false">INT((ROW()-2)/Summary!$B$8)+1</f>
        <v>1</v>
      </c>
      <c r="B81" s="24" t="n">
        <f aca="false">MOD(ROW()-2,Summary!$B$8)+1</f>
        <v>80</v>
      </c>
      <c r="C81" s="24" t="str">
        <f aca="false">INDEX('Running Order'!$C$2:$C$225,B81)</f>
        <v>CHIVITA ADVERT</v>
      </c>
      <c r="D81" s="24" t="str">
        <f aca="false">INDEX('Running Order'!$D$2:$D$225,B81)</f>
        <v>Commercial</v>
      </c>
      <c r="E81" s="5" t="n">
        <f aca="false">IF(INDEX('Running Order'!$B$2:$B$225,B81)="Y",INDEX('Running Order'!$E$2:$E$225,B81),0)</f>
        <v>0.00292824074074074</v>
      </c>
      <c r="F81" s="6" t="n">
        <f aca="false">(A81-1)*Summary!$B$5+INDEX('Running Order'!$F$2:$F$225,B81)</f>
        <v>46295.9620717593</v>
      </c>
      <c r="G81" s="6" t="n">
        <f aca="false">F81+E81</f>
        <v>46295.965</v>
      </c>
      <c r="H81" s="24" t="str">
        <f aca="false">IF(INDEX('Running Order'!$B$2:$B$225,B81)="Y","on air","dropped")</f>
        <v>on air</v>
      </c>
      <c r="I81" s="24" t="str">
        <f aca="false">IF(F81&lt;Summary!$B$4+1,"yes","")</f>
        <v>yes</v>
      </c>
    </row>
    <row r="82" customFormat="false" ht="15" hidden="false" customHeight="false" outlineLevel="0" collapsed="false">
      <c r="A82" s="24" t="n">
        <f aca="false">INT((ROW()-2)/Summary!$B$8)+1</f>
        <v>1</v>
      </c>
      <c r="B82" s="24" t="n">
        <f aca="false">MOD(ROW()-2,Summary!$B$8)+1</f>
        <v>81</v>
      </c>
      <c r="C82" s="24" t="str">
        <f aca="false">INDEX('Running Order'!$C$2:$C$225,B82)</f>
        <v>SALAD MASTER SET NO LOGO</v>
      </c>
      <c r="D82" s="24" t="str">
        <f aca="false">INDEX('Running Order'!$D$2:$D$225,B82)</f>
        <v>Short</v>
      </c>
      <c r="E82" s="5" t="n">
        <f aca="false">IF(INDEX('Running Order'!$B$2:$B$225,B82)="Y",INDEX('Running Order'!$E$2:$E$225,B82),0)</f>
        <v>0.00087962962962963</v>
      </c>
      <c r="F82" s="6" t="n">
        <f aca="false">(A82-1)*Summary!$B$5+INDEX('Running Order'!$F$2:$F$225,B82)</f>
        <v>46295.965</v>
      </c>
      <c r="G82" s="6" t="n">
        <f aca="false">F82+E82</f>
        <v>46295.9658796296</v>
      </c>
      <c r="H82" s="24" t="str">
        <f aca="false">IF(INDEX('Running Order'!$B$2:$B$225,B82)="Y","on air","dropped")</f>
        <v>on air</v>
      </c>
      <c r="I82" s="24" t="str">
        <f aca="false">IF(F82&lt;Summary!$B$4+1,"yes","")</f>
        <v>yes</v>
      </c>
    </row>
    <row r="83" customFormat="false" ht="15" hidden="false" customHeight="false" outlineLevel="0" collapsed="false">
      <c r="A83" s="24" t="n">
        <f aca="false">INT((ROW()-2)/Summary!$B$8)+1</f>
        <v>1</v>
      </c>
      <c r="B83" s="24" t="n">
        <f aca="false">MOD(ROW()-2,Summary!$B$8)+1</f>
        <v>82</v>
      </c>
      <c r="C83" s="24" t="str">
        <f aca="false">INDEX('Running Order'!$C$2:$C$225,B83)</f>
        <v>TATTASE TV STING</v>
      </c>
      <c r="D83" s="24" t="str">
        <f aca="false">INDEX('Running Order'!$D$2:$D$225,B83)</f>
        <v>Sting</v>
      </c>
      <c r="E83" s="5" t="n">
        <f aca="false">IF(INDEX('Running Order'!$B$2:$B$225,B83)="Y",INDEX('Running Order'!$E$2:$E$225,B83),0)</f>
        <v>6.94444444444444E-005</v>
      </c>
      <c r="F83" s="6" t="n">
        <f aca="false">(A83-1)*Summary!$B$5+INDEX('Running Order'!$F$2:$F$225,B83)</f>
        <v>46295.9658796296</v>
      </c>
      <c r="G83" s="6" t="n">
        <f aca="false">F83+E83</f>
        <v>46295.9659490741</v>
      </c>
      <c r="H83" s="24" t="str">
        <f aca="false">IF(INDEX('Running Order'!$B$2:$B$225,B83)="Y","on air","dropped")</f>
        <v>on air</v>
      </c>
      <c r="I83" s="24" t="str">
        <f aca="false">IF(F83&lt;Summary!$B$4+1,"yes","")</f>
        <v>yes</v>
      </c>
    </row>
    <row r="84" customFormat="false" ht="15" hidden="false" customHeight="false" outlineLevel="0" collapsed="false">
      <c r="A84" s="24" t="n">
        <f aca="false">INT((ROW()-2)/Summary!$B$8)+1</f>
        <v>1</v>
      </c>
      <c r="B84" s="24" t="n">
        <f aca="false">MOD(ROW()-2,Summary!$B$8)+1</f>
        <v>83</v>
      </c>
      <c r="C84" s="24" t="str">
        <f aca="false">INDEX('Running Order'!$C$2:$C$225,B84)</f>
        <v>MAGGI OSETIGO EP1</v>
      </c>
      <c r="D84" s="24" t="str">
        <f aca="false">INDEX('Running Order'!$D$2:$D$225,B84)</f>
        <v>Programme</v>
      </c>
      <c r="E84" s="5" t="n">
        <f aca="false">IF(INDEX('Running Order'!$B$2:$B$225,B84)="Y",INDEX('Running Order'!$E$2:$E$225,B84),0)</f>
        <v>0.0192013888888889</v>
      </c>
      <c r="F84" s="6" t="n">
        <f aca="false">(A84-1)*Summary!$B$5+INDEX('Running Order'!$F$2:$F$225,B84)</f>
        <v>46295.9659490741</v>
      </c>
      <c r="G84" s="6" t="n">
        <f aca="false">F84+E84</f>
        <v>46295.985150463</v>
      </c>
      <c r="H84" s="24" t="str">
        <f aca="false">IF(INDEX('Running Order'!$B$2:$B$225,B84)="Y","on air","dropped")</f>
        <v>on air</v>
      </c>
      <c r="I84" s="24" t="str">
        <f aca="false">IF(F84&lt;Summary!$B$4+1,"yes","")</f>
        <v>yes</v>
      </c>
    </row>
    <row r="85" customFormat="false" ht="15" hidden="false" customHeight="false" outlineLevel="0" collapsed="false">
      <c r="A85" s="24" t="n">
        <f aca="false">INT((ROW()-2)/Summary!$B$8)+1</f>
        <v>1</v>
      </c>
      <c r="B85" s="24" t="n">
        <f aca="false">MOD(ROW()-2,Summary!$B$8)+1</f>
        <v>84</v>
      </c>
      <c r="C85" s="24" t="str">
        <f aca="false">INDEX('Running Order'!$C$2:$C$225,B85)</f>
        <v>COKE STUDIO SCAN AND WIN</v>
      </c>
      <c r="D85" s="24" t="str">
        <f aca="false">INDEX('Running Order'!$D$2:$D$225,B85)</f>
        <v>Commercial</v>
      </c>
      <c r="E85" s="5" t="n">
        <f aca="false">IF(INDEX('Running Order'!$B$2:$B$225,B85)="Y",INDEX('Running Order'!$E$2:$E$225,B85),0)</f>
        <v>0.000358796296296296</v>
      </c>
      <c r="F85" s="6" t="n">
        <f aca="false">(A85-1)*Summary!$B$5+INDEX('Running Order'!$F$2:$F$225,B85)</f>
        <v>46295.985150463</v>
      </c>
      <c r="G85" s="6" t="n">
        <f aca="false">F85+E85</f>
        <v>46295.9855092593</v>
      </c>
      <c r="H85" s="24" t="str">
        <f aca="false">IF(INDEX('Running Order'!$B$2:$B$225,B85)="Y","on air","dropped")</f>
        <v>on air</v>
      </c>
      <c r="I85" s="24" t="str">
        <f aca="false">IF(F85&lt;Summary!$B$4+1,"yes","")</f>
        <v>yes</v>
      </c>
    </row>
    <row r="86" customFormat="false" ht="15" hidden="false" customHeight="false" outlineLevel="0" collapsed="false">
      <c r="A86" s="24" t="n">
        <f aca="false">INT((ROW()-2)/Summary!$B$8)+1</f>
        <v>1</v>
      </c>
      <c r="B86" s="24" t="n">
        <f aca="false">MOD(ROW()-2,Summary!$B$8)+1</f>
        <v>85</v>
      </c>
      <c r="C86" s="24" t="str">
        <f aca="false">INDEX('Running Order'!$C$2:$C$225,B86)</f>
        <v>LIPTON ADVERTS</v>
      </c>
      <c r="D86" s="24" t="str">
        <f aca="false">INDEX('Running Order'!$D$2:$D$225,B86)</f>
        <v>Commercial</v>
      </c>
      <c r="E86" s="5" t="n">
        <f aca="false">IF(INDEX('Running Order'!$B$2:$B$225,B86)="Y",INDEX('Running Order'!$E$2:$E$225,B86),0)</f>
        <v>6.94444444444444E-005</v>
      </c>
      <c r="F86" s="6" t="n">
        <f aca="false">(A86-1)*Summary!$B$5+INDEX('Running Order'!$F$2:$F$225,B86)</f>
        <v>46295.9855092593</v>
      </c>
      <c r="G86" s="6" t="n">
        <f aca="false">F86+E86</f>
        <v>46295.9855787037</v>
      </c>
      <c r="H86" s="24" t="str">
        <f aca="false">IF(INDEX('Running Order'!$B$2:$B$225,B86)="Y","on air","dropped")</f>
        <v>on air</v>
      </c>
      <c r="I86" s="24" t="str">
        <f aca="false">IF(F86&lt;Summary!$B$4+1,"yes","")</f>
        <v>yes</v>
      </c>
    </row>
    <row r="87" customFormat="false" ht="15" hidden="false" customHeight="false" outlineLevel="0" collapsed="false">
      <c r="A87" s="24" t="n">
        <f aca="false">INT((ROW()-2)/Summary!$B$8)+1</f>
        <v>1</v>
      </c>
      <c r="B87" s="24" t="n">
        <f aca="false">MOD(ROW()-2,Summary!$B$8)+1</f>
        <v>86</v>
      </c>
      <c r="C87" s="24" t="str">
        <f aca="false">INDEX('Running Order'!$C$2:$C$225,B87)</f>
        <v>CHANNEL MONTAGE</v>
      </c>
      <c r="D87" s="24" t="str">
        <f aca="false">INDEX('Running Order'!$D$2:$D$225,B87)</f>
        <v>Montage</v>
      </c>
      <c r="E87" s="5" t="n">
        <f aca="false">IF(INDEX('Running Order'!$B$2:$B$225,B87)="Y",INDEX('Running Order'!$E$2:$E$225,B87),0)</f>
        <v>0.000115740740740741</v>
      </c>
      <c r="F87" s="6" t="n">
        <f aca="false">(A87-1)*Summary!$B$5+INDEX('Running Order'!$F$2:$F$225,B87)</f>
        <v>46295.9855787037</v>
      </c>
      <c r="G87" s="6" t="n">
        <f aca="false">F87+E87</f>
        <v>46295.9856944445</v>
      </c>
      <c r="H87" s="24" t="str">
        <f aca="false">IF(INDEX('Running Order'!$B$2:$B$225,B87)="Y","on air","dropped")</f>
        <v>on air</v>
      </c>
      <c r="I87" s="24" t="str">
        <f aca="false">IF(F87&lt;Summary!$B$4+1,"yes","")</f>
        <v>yes</v>
      </c>
    </row>
    <row r="88" customFormat="false" ht="15" hidden="false" customHeight="false" outlineLevel="0" collapsed="false">
      <c r="A88" s="24" t="n">
        <f aca="false">INT((ROW()-2)/Summary!$B$8)+1</f>
        <v>1</v>
      </c>
      <c r="B88" s="24" t="n">
        <f aca="false">MOD(ROW()-2,Summary!$B$8)+1</f>
        <v>87</v>
      </c>
      <c r="C88" s="24" t="str">
        <f aca="false">INDEX('Running Order'!$C$2:$C$225,B88)</f>
        <v>AGRO FOOD DAY 1</v>
      </c>
      <c r="D88" s="24" t="str">
        <f aca="false">INDEX('Running Order'!$D$2:$D$225,B88)</f>
        <v>Programme</v>
      </c>
      <c r="E88" s="5" t="n">
        <f aca="false">IF(INDEX('Running Order'!$B$2:$B$225,B88)="Y",INDEX('Running Order'!$E$2:$E$225,B88),0)</f>
        <v>0.0228587962962963</v>
      </c>
      <c r="F88" s="6" t="n">
        <f aca="false">(A88-1)*Summary!$B$5+INDEX('Running Order'!$F$2:$F$225,B88)</f>
        <v>46295.9856944445</v>
      </c>
      <c r="G88" s="6" t="n">
        <f aca="false">F88+E88</f>
        <v>46296.0085532407</v>
      </c>
      <c r="H88" s="24" t="str">
        <f aca="false">IF(INDEX('Running Order'!$B$2:$B$225,B88)="Y","on air","dropped")</f>
        <v>on air</v>
      </c>
      <c r="I88" s="24" t="str">
        <f aca="false">IF(F88&lt;Summary!$B$4+1,"yes","")</f>
        <v>yes</v>
      </c>
    </row>
    <row r="89" customFormat="false" ht="15" hidden="false" customHeight="false" outlineLevel="0" collapsed="false">
      <c r="A89" s="24" t="n">
        <f aca="false">INT((ROW()-2)/Summary!$B$8)+1</f>
        <v>1</v>
      </c>
      <c r="B89" s="24" t="n">
        <f aca="false">MOD(ROW()-2,Summary!$B$8)+1</f>
        <v>88</v>
      </c>
      <c r="C89" s="24" t="str">
        <f aca="false">INDEX('Running Order'!$C$2:$C$225,B89)</f>
        <v>ORAL B VALUE NEW</v>
      </c>
      <c r="D89" s="24" t="str">
        <f aca="false">INDEX('Running Order'!$D$2:$D$225,B89)</f>
        <v>Commercial</v>
      </c>
      <c r="E89" s="5" t="n">
        <f aca="false">IF(INDEX('Running Order'!$B$2:$B$225,B89)="Y",INDEX('Running Order'!$E$2:$E$225,B89),0)</f>
        <v>0.000347222222222222</v>
      </c>
      <c r="F89" s="6" t="n">
        <f aca="false">(A89-1)*Summary!$B$5+INDEX('Running Order'!$F$2:$F$225,B89)</f>
        <v>46296.0085532407</v>
      </c>
      <c r="G89" s="6" t="n">
        <f aca="false">F89+E89</f>
        <v>46296.008900463</v>
      </c>
      <c r="H89" s="24" t="str">
        <f aca="false">IF(INDEX('Running Order'!$B$2:$B$225,B89)="Y","on air","dropped")</f>
        <v>on air</v>
      </c>
      <c r="I89" s="24" t="str">
        <f aca="false">IF(F89&lt;Summary!$B$4+1,"yes","")</f>
        <v>yes</v>
      </c>
    </row>
    <row r="90" customFormat="false" ht="15" hidden="false" customHeight="false" outlineLevel="0" collapsed="false">
      <c r="A90" s="24" t="n">
        <f aca="false">INT((ROW()-2)/Summary!$B$8)+1</f>
        <v>1</v>
      </c>
      <c r="B90" s="24" t="n">
        <f aca="false">MOD(ROW()-2,Summary!$B$8)+1</f>
        <v>89</v>
      </c>
      <c r="C90" s="24" t="str">
        <f aca="false">INDEX('Running Order'!$C$2:$C$225,B90)</f>
        <v>TERRA CUBE COMMERCIAL</v>
      </c>
      <c r="D90" s="24" t="str">
        <f aca="false">INDEX('Running Order'!$D$2:$D$225,B90)</f>
        <v>Commercial</v>
      </c>
      <c r="E90" s="5" t="n">
        <f aca="false">IF(INDEX('Running Order'!$B$2:$B$225,B90)="Y",INDEX('Running Order'!$E$2:$E$225,B90),0)</f>
        <v>0.000694444444444445</v>
      </c>
      <c r="F90" s="6" t="n">
        <f aca="false">(A90-1)*Summary!$B$5+INDEX('Running Order'!$F$2:$F$225,B90)</f>
        <v>46296.008900463</v>
      </c>
      <c r="G90" s="6" t="n">
        <f aca="false">F90+E90</f>
        <v>46296.0095949074</v>
      </c>
      <c r="H90" s="24" t="str">
        <f aca="false">IF(INDEX('Running Order'!$B$2:$B$225,B90)="Y","on air","dropped")</f>
        <v>on air</v>
      </c>
      <c r="I90" s="24" t="str">
        <f aca="false">IF(F90&lt;Summary!$B$4+1,"yes","")</f>
        <v>yes</v>
      </c>
    </row>
    <row r="91" customFormat="false" ht="15" hidden="false" customHeight="false" outlineLevel="0" collapsed="false">
      <c r="A91" s="24" t="n">
        <f aca="false">INT((ROW()-2)/Summary!$B$8)+1</f>
        <v>1</v>
      </c>
      <c r="B91" s="24" t="n">
        <f aca="false">MOD(ROW()-2,Summary!$B$8)+1</f>
        <v>90</v>
      </c>
      <c r="C91" s="24" t="str">
        <f aca="false">INDEX('Running Order'!$C$2:$C$225,B91)</f>
        <v>TATTASE TV STING</v>
      </c>
      <c r="D91" s="24" t="str">
        <f aca="false">INDEX('Running Order'!$D$2:$D$225,B91)</f>
        <v>Sting</v>
      </c>
      <c r="E91" s="5" t="n">
        <f aca="false">IF(INDEX('Running Order'!$B$2:$B$225,B91)="Y",INDEX('Running Order'!$E$2:$E$225,B91),0)</f>
        <v>6.94444444444444E-005</v>
      </c>
      <c r="F91" s="6" t="n">
        <f aca="false">(A91-1)*Summary!$B$5+INDEX('Running Order'!$F$2:$F$225,B91)</f>
        <v>46296.0095949074</v>
      </c>
      <c r="G91" s="6" t="n">
        <f aca="false">F91+E91</f>
        <v>46296.0096643519</v>
      </c>
      <c r="H91" s="24" t="str">
        <f aca="false">IF(INDEX('Running Order'!$B$2:$B$225,B91)="Y","on air","dropped")</f>
        <v>on air</v>
      </c>
      <c r="I91" s="24" t="str">
        <f aca="false">IF(F91&lt;Summary!$B$4+1,"yes","")</f>
        <v>yes</v>
      </c>
    </row>
    <row r="92" customFormat="false" ht="15" hidden="false" customHeight="false" outlineLevel="0" collapsed="false">
      <c r="A92" s="24" t="n">
        <f aca="false">INT((ROW()-2)/Summary!$B$8)+1</f>
        <v>1</v>
      </c>
      <c r="B92" s="24" t="n">
        <f aca="false">MOD(ROW()-2,Summary!$B$8)+1</f>
        <v>91</v>
      </c>
      <c r="C92" s="24" t="str">
        <f aca="false">INDEX('Running Order'!$C$2:$C$225,B92)</f>
        <v>URBAN KITCHEN SHOW NEW</v>
      </c>
      <c r="D92" s="24" t="str">
        <f aca="false">INDEX('Running Order'!$D$2:$D$225,B92)</f>
        <v>Short</v>
      </c>
      <c r="E92" s="5" t="n">
        <f aca="false">IF(INDEX('Running Order'!$B$2:$B$225,B92)="Y",INDEX('Running Order'!$E$2:$E$225,B92),0)</f>
        <v>0.00068287037037037</v>
      </c>
      <c r="F92" s="6" t="n">
        <f aca="false">(A92-1)*Summary!$B$5+INDEX('Running Order'!$F$2:$F$225,B92)</f>
        <v>46296.0096643519</v>
      </c>
      <c r="G92" s="6" t="n">
        <f aca="false">F92+E92</f>
        <v>46296.0103472222</v>
      </c>
      <c r="H92" s="24" t="str">
        <f aca="false">IF(INDEX('Running Order'!$B$2:$B$225,B92)="Y","on air","dropped")</f>
        <v>on air</v>
      </c>
      <c r="I92" s="24" t="str">
        <f aca="false">IF(F92&lt;Summary!$B$4+1,"yes","")</f>
        <v>yes</v>
      </c>
    </row>
    <row r="93" customFormat="false" ht="15" hidden="false" customHeight="false" outlineLevel="0" collapsed="false">
      <c r="A93" s="24" t="n">
        <f aca="false">INT((ROW()-2)/Summary!$B$8)+1</f>
        <v>1</v>
      </c>
      <c r="B93" s="24" t="n">
        <f aca="false">MOD(ROW()-2,Summary!$B$8)+1</f>
        <v>92</v>
      </c>
      <c r="C93" s="24" t="str">
        <f aca="false">INDEX('Running Order'!$C$2:$C$225,B93)</f>
        <v>ABUJA’S FINEST PLACES (AFP)</v>
      </c>
      <c r="D93" s="24" t="str">
        <f aca="false">INDEX('Running Order'!$D$2:$D$225,B93)</f>
        <v>Short</v>
      </c>
      <c r="E93" s="5" t="n">
        <f aca="false">IF(INDEX('Running Order'!$B$2:$B$225,B93)="Y",INDEX('Running Order'!$E$2:$E$225,B93),0)</f>
        <v>0.000486111111111111</v>
      </c>
      <c r="F93" s="6" t="n">
        <f aca="false">(A93-1)*Summary!$B$5+INDEX('Running Order'!$F$2:$F$225,B93)</f>
        <v>46296.0103472222</v>
      </c>
      <c r="G93" s="6" t="n">
        <f aca="false">F93+E93</f>
        <v>46296.0108333333</v>
      </c>
      <c r="H93" s="24" t="str">
        <f aca="false">IF(INDEX('Running Order'!$B$2:$B$225,B93)="Y","on air","dropped")</f>
        <v>on air</v>
      </c>
      <c r="I93" s="24" t="str">
        <f aca="false">IF(F93&lt;Summary!$B$4+1,"yes","")</f>
        <v>yes</v>
      </c>
    </row>
    <row r="94" customFormat="false" ht="15" hidden="false" customHeight="false" outlineLevel="0" collapsed="false">
      <c r="A94" s="24" t="n">
        <f aca="false">INT((ROW()-2)/Summary!$B$8)+1</f>
        <v>1</v>
      </c>
      <c r="B94" s="24" t="n">
        <f aca="false">MOD(ROW()-2,Summary!$B$8)+1</f>
        <v>93</v>
      </c>
      <c r="C94" s="24" t="str">
        <f aca="false">INDEX('Running Order'!$C$2:$C$225,B94)</f>
        <v>GUESS WHO’S COMING TO DINNER</v>
      </c>
      <c r="D94" s="24" t="str">
        <f aca="false">INDEX('Running Order'!$D$2:$D$225,B94)</f>
        <v>Short</v>
      </c>
      <c r="E94" s="5" t="n">
        <f aca="false">IF(INDEX('Running Order'!$B$2:$B$225,B94)="Y",INDEX('Running Order'!$E$2:$E$225,B94),0)</f>
        <v>0.000324074074074074</v>
      </c>
      <c r="F94" s="6" t="n">
        <f aca="false">(A94-1)*Summary!$B$5+INDEX('Running Order'!$F$2:$F$225,B94)</f>
        <v>46296.0108333333</v>
      </c>
      <c r="G94" s="6" t="n">
        <f aca="false">F94+E94</f>
        <v>46296.0111574074</v>
      </c>
      <c r="H94" s="24" t="str">
        <f aca="false">IF(INDEX('Running Order'!$B$2:$B$225,B94)="Y","on air","dropped")</f>
        <v>on air</v>
      </c>
      <c r="I94" s="24" t="str">
        <f aca="false">IF(F94&lt;Summary!$B$4+1,"yes","")</f>
        <v>yes</v>
      </c>
    </row>
    <row r="95" customFormat="false" ht="15" hidden="false" customHeight="false" outlineLevel="0" collapsed="false">
      <c r="A95" s="24" t="n">
        <f aca="false">INT((ROW()-2)/Summary!$B$8)+1</f>
        <v>1</v>
      </c>
      <c r="B95" s="24" t="n">
        <f aca="false">MOD(ROW()-2,Summary!$B$8)+1</f>
        <v>94</v>
      </c>
      <c r="C95" s="24" t="str">
        <f aca="false">INDEX('Running Order'!$C$2:$C$225,B95)</f>
        <v>CHANNEL MONTAGE</v>
      </c>
      <c r="D95" s="24" t="str">
        <f aca="false">INDEX('Running Order'!$D$2:$D$225,B95)</f>
        <v>Montage</v>
      </c>
      <c r="E95" s="5" t="n">
        <f aca="false">IF(INDEX('Running Order'!$B$2:$B$225,B95)="Y",INDEX('Running Order'!$E$2:$E$225,B95),0)</f>
        <v>0.000115740740740741</v>
      </c>
      <c r="F95" s="6" t="n">
        <f aca="false">(A95-1)*Summary!$B$5+INDEX('Running Order'!$F$2:$F$225,B95)</f>
        <v>46296.0111574074</v>
      </c>
      <c r="G95" s="6" t="n">
        <f aca="false">F95+E95</f>
        <v>46296.0112731482</v>
      </c>
      <c r="H95" s="24" t="str">
        <f aca="false">IF(INDEX('Running Order'!$B$2:$B$225,B95)="Y","on air","dropped")</f>
        <v>on air</v>
      </c>
      <c r="I95" s="24" t="str">
        <f aca="false">IF(F95&lt;Summary!$B$4+1,"yes","")</f>
        <v>yes</v>
      </c>
    </row>
    <row r="96" customFormat="false" ht="15" hidden="false" customHeight="false" outlineLevel="0" collapsed="false">
      <c r="A96" s="24" t="n">
        <f aca="false">INT((ROW()-2)/Summary!$B$8)+1</f>
        <v>1</v>
      </c>
      <c r="B96" s="24" t="n">
        <f aca="false">MOD(ROW()-2,Summary!$B$8)+1</f>
        <v>95</v>
      </c>
      <c r="C96" s="24" t="str">
        <f aca="false">INDEX('Running Order'!$C$2:$C$225,B96)</f>
        <v>ARIEL DETERGENT COMMERCIAL</v>
      </c>
      <c r="D96" s="24" t="str">
        <f aca="false">INDEX('Running Order'!$D$2:$D$225,B96)</f>
        <v>Commercial</v>
      </c>
      <c r="E96" s="5" t="n">
        <f aca="false">IF(INDEX('Running Order'!$B$2:$B$225,B96)="Y",INDEX('Running Order'!$E$2:$E$225,B96),0)</f>
        <v>0.000347222222222222</v>
      </c>
      <c r="F96" s="6" t="n">
        <f aca="false">(A96-1)*Summary!$B$5+INDEX('Running Order'!$F$2:$F$225,B96)</f>
        <v>46296.0112731482</v>
      </c>
      <c r="G96" s="6" t="n">
        <f aca="false">F96+E96</f>
        <v>46296.0116203704</v>
      </c>
      <c r="H96" s="24" t="str">
        <f aca="false">IF(INDEX('Running Order'!$B$2:$B$225,B96)="Y","on air","dropped")</f>
        <v>on air</v>
      </c>
      <c r="I96" s="24" t="str">
        <f aca="false">IF(F96&lt;Summary!$B$4+1,"yes","")</f>
        <v>yes</v>
      </c>
    </row>
    <row r="97" customFormat="false" ht="15" hidden="false" customHeight="false" outlineLevel="0" collapsed="false">
      <c r="A97" s="24" t="n">
        <f aca="false">INT((ROW()-2)/Summary!$B$8)+1</f>
        <v>1</v>
      </c>
      <c r="B97" s="24" t="n">
        <f aca="false">MOD(ROW()-2,Summary!$B$8)+1</f>
        <v>96</v>
      </c>
      <c r="C97" s="24" t="str">
        <f aca="false">INDEX('Running Order'!$C$2:$C$225,B97)</f>
        <v>SCHWEPPS AT TIMELESS</v>
      </c>
      <c r="D97" s="24" t="str">
        <f aca="false">INDEX('Running Order'!$D$2:$D$225,B97)</f>
        <v>Commercial</v>
      </c>
      <c r="E97" s="5" t="n">
        <f aca="false">IF(INDEX('Running Order'!$B$2:$B$225,B97)="Y",INDEX('Running Order'!$E$2:$E$225,B97),0)</f>
        <v>0.000358796296296296</v>
      </c>
      <c r="F97" s="6" t="n">
        <f aca="false">(A97-1)*Summary!$B$5+INDEX('Running Order'!$F$2:$F$225,B97)</f>
        <v>46296.0116203704</v>
      </c>
      <c r="G97" s="6" t="n">
        <f aca="false">F97+E97</f>
        <v>46296.0119791667</v>
      </c>
      <c r="H97" s="24" t="str">
        <f aca="false">IF(INDEX('Running Order'!$B$2:$B$225,B97)="Y","on air","dropped")</f>
        <v>on air</v>
      </c>
      <c r="I97" s="24" t="str">
        <f aca="false">IF(F97&lt;Summary!$B$4+1,"yes","")</f>
        <v>yes</v>
      </c>
    </row>
    <row r="98" customFormat="false" ht="15" hidden="false" customHeight="false" outlineLevel="0" collapsed="false">
      <c r="A98" s="24" t="n">
        <f aca="false">INT((ROW()-2)/Summary!$B$8)+1</f>
        <v>1</v>
      </c>
      <c r="B98" s="24" t="n">
        <f aca="false">MOD(ROW()-2,Summary!$B$8)+1</f>
        <v>97</v>
      </c>
      <c r="C98" s="24" t="str">
        <f aca="false">INDEX('Running Order'!$C$2:$C$225,B98)</f>
        <v>TATTASE TV STING</v>
      </c>
      <c r="D98" s="24" t="str">
        <f aca="false">INDEX('Running Order'!$D$2:$D$225,B98)</f>
        <v>Sting</v>
      </c>
      <c r="E98" s="5" t="n">
        <f aca="false">IF(INDEX('Running Order'!$B$2:$B$225,B98)="Y",INDEX('Running Order'!$E$2:$E$225,B98),0)</f>
        <v>6.94444444444444E-005</v>
      </c>
      <c r="F98" s="6" t="n">
        <f aca="false">(A98-1)*Summary!$B$5+INDEX('Running Order'!$F$2:$F$225,B98)</f>
        <v>46296.0119791667</v>
      </c>
      <c r="G98" s="6" t="n">
        <f aca="false">F98+E98</f>
        <v>46296.0120486111</v>
      </c>
      <c r="H98" s="24" t="str">
        <f aca="false">IF(INDEX('Running Order'!$B$2:$B$225,B98)="Y","on air","dropped")</f>
        <v>on air</v>
      </c>
      <c r="I98" s="24" t="str">
        <f aca="false">IF(F98&lt;Summary!$B$4+1,"yes","")</f>
        <v>yes</v>
      </c>
    </row>
    <row r="99" customFormat="false" ht="15" hidden="false" customHeight="false" outlineLevel="0" collapsed="false">
      <c r="A99" s="24" t="n">
        <f aca="false">INT((ROW()-2)/Summary!$B$8)+1</f>
        <v>1</v>
      </c>
      <c r="B99" s="24" t="n">
        <f aca="false">MOD(ROW()-2,Summary!$B$8)+1</f>
        <v>98</v>
      </c>
      <c r="C99" s="24" t="str">
        <f aca="false">INDEX('Running Order'!$C$2:$C$225,B99)</f>
        <v>BOLE FESTIVAL DAY ONE</v>
      </c>
      <c r="D99" s="24" t="str">
        <f aca="false">INDEX('Running Order'!$D$2:$D$225,B99)</f>
        <v>Programme</v>
      </c>
      <c r="E99" s="5" t="n">
        <f aca="false">IF(INDEX('Running Order'!$B$2:$B$225,B99)="Y",INDEX('Running Order'!$E$2:$E$225,B99),0)</f>
        <v>0.0173263888888889</v>
      </c>
      <c r="F99" s="6" t="n">
        <f aca="false">(A99-1)*Summary!$B$5+INDEX('Running Order'!$F$2:$F$225,B99)</f>
        <v>46296.0120486111</v>
      </c>
      <c r="G99" s="6" t="n">
        <f aca="false">F99+E99</f>
        <v>46296.029375</v>
      </c>
      <c r="H99" s="24" t="str">
        <f aca="false">IF(INDEX('Running Order'!$B$2:$B$225,B99)="Y","on air","dropped")</f>
        <v>on air</v>
      </c>
      <c r="I99" s="24" t="str">
        <f aca="false">IF(F99&lt;Summary!$B$4+1,"yes","")</f>
        <v>yes</v>
      </c>
    </row>
    <row r="100" customFormat="false" ht="15" hidden="false" customHeight="false" outlineLevel="0" collapsed="false">
      <c r="A100" s="24" t="n">
        <f aca="false">INT((ROW()-2)/Summary!$B$8)+1</f>
        <v>1</v>
      </c>
      <c r="B100" s="24" t="n">
        <f aca="false">MOD(ROW()-2,Summary!$B$8)+1</f>
        <v>99</v>
      </c>
      <c r="C100" s="24" t="str">
        <f aca="false">INDEX('Running Order'!$C$2:$C$225,B100)</f>
        <v>CHEF ETTE</v>
      </c>
      <c r="D100" s="24" t="str">
        <f aca="false">INDEX('Running Order'!$D$2:$D$225,B100)</f>
        <v>Programme</v>
      </c>
      <c r="E100" s="5" t="n">
        <f aca="false">IF(INDEX('Running Order'!$B$2:$B$225,B100)="Y",INDEX('Running Order'!$E$2:$E$225,B100),0)</f>
        <v>0.00238425925925926</v>
      </c>
      <c r="F100" s="6" t="n">
        <f aca="false">(A100-1)*Summary!$B$5+INDEX('Running Order'!$F$2:$F$225,B100)</f>
        <v>46296.029375</v>
      </c>
      <c r="G100" s="6" t="n">
        <f aca="false">F100+E100</f>
        <v>46296.0317592593</v>
      </c>
      <c r="H100" s="24" t="str">
        <f aca="false">IF(INDEX('Running Order'!$B$2:$B$225,B100)="Y","on air","dropped")</f>
        <v>on air</v>
      </c>
      <c r="I100" s="24" t="str">
        <f aca="false">IF(F100&lt;Summary!$B$4+1,"yes","")</f>
        <v>yes</v>
      </c>
    </row>
    <row r="101" customFormat="false" ht="15" hidden="false" customHeight="false" outlineLevel="0" collapsed="false">
      <c r="A101" s="24" t="n">
        <f aca="false">INT((ROW()-2)/Summary!$B$8)+1</f>
        <v>1</v>
      </c>
      <c r="B101" s="24" t="n">
        <f aca="false">MOD(ROW()-2,Summary!$B$8)+1</f>
        <v>100</v>
      </c>
      <c r="C101" s="24" t="str">
        <f aca="false">INDEX('Running Order'!$C$2:$C$225,B101)</f>
        <v>TATTASE TV STING</v>
      </c>
      <c r="D101" s="24" t="str">
        <f aca="false">INDEX('Running Order'!$D$2:$D$225,B101)</f>
        <v>Sting</v>
      </c>
      <c r="E101" s="5" t="n">
        <f aca="false">IF(INDEX('Running Order'!$B$2:$B$225,B101)="Y",INDEX('Running Order'!$E$2:$E$225,B101),0)</f>
        <v>6.94444444444444E-005</v>
      </c>
      <c r="F101" s="6" t="n">
        <f aca="false">(A101-1)*Summary!$B$5+INDEX('Running Order'!$F$2:$F$225,B101)</f>
        <v>46296.0317592593</v>
      </c>
      <c r="G101" s="6" t="n">
        <f aca="false">F101+E101</f>
        <v>46296.0318287037</v>
      </c>
      <c r="H101" s="24" t="str">
        <f aca="false">IF(INDEX('Running Order'!$B$2:$B$225,B101)="Y","on air","dropped")</f>
        <v>on air</v>
      </c>
      <c r="I101" s="24" t="str">
        <f aca="false">IF(F101&lt;Summary!$B$4+1,"yes","")</f>
        <v>yes</v>
      </c>
    </row>
    <row r="102" customFormat="false" ht="15" hidden="false" customHeight="false" outlineLevel="0" collapsed="false">
      <c r="A102" s="24" t="n">
        <f aca="false">INT((ROW()-2)/Summary!$B$8)+1</f>
        <v>1</v>
      </c>
      <c r="B102" s="24" t="n">
        <f aca="false">MOD(ROW()-2,Summary!$B$8)+1</f>
        <v>101</v>
      </c>
      <c r="C102" s="24" t="str">
        <f aca="false">INDEX('Running Order'!$C$2:$C$225,B102)</f>
        <v>CALABAR FOOD WITH UYAI (NO BRAND) PROMO</v>
      </c>
      <c r="D102" s="24" t="str">
        <f aca="false">INDEX('Running Order'!$D$2:$D$225,B102)</f>
        <v>Promo</v>
      </c>
      <c r="E102" s="5" t="n">
        <f aca="false">IF(INDEX('Running Order'!$B$2:$B$225,B102)="Y",INDEX('Running Order'!$E$2:$E$225,B102),0)</f>
        <v>0.00186342592592593</v>
      </c>
      <c r="F102" s="6" t="n">
        <f aca="false">(A102-1)*Summary!$B$5+INDEX('Running Order'!$F$2:$F$225,B102)</f>
        <v>46296.0318287037</v>
      </c>
      <c r="G102" s="6" t="n">
        <f aca="false">F102+E102</f>
        <v>46296.0336921296</v>
      </c>
      <c r="H102" s="24" t="str">
        <f aca="false">IF(INDEX('Running Order'!$B$2:$B$225,B102)="Y","on air","dropped")</f>
        <v>on air</v>
      </c>
      <c r="I102" s="24" t="str">
        <f aca="false">IF(F102&lt;Summary!$B$4+1,"yes","")</f>
        <v>yes</v>
      </c>
    </row>
    <row r="103" customFormat="false" ht="15" hidden="false" customHeight="false" outlineLevel="0" collapsed="false">
      <c r="A103" s="24" t="n">
        <f aca="false">INT((ROW()-2)/Summary!$B$8)+1</f>
        <v>1</v>
      </c>
      <c r="B103" s="24" t="n">
        <f aca="false">MOD(ROW()-2,Summary!$B$8)+1</f>
        <v>102</v>
      </c>
      <c r="C103" s="24" t="str">
        <f aca="false">INDEX('Running Order'!$C$2:$C$225,B103)</f>
        <v>Bake That Cake With Dripples __ Trailer</v>
      </c>
      <c r="D103" s="24" t="str">
        <f aca="false">INDEX('Running Order'!$D$2:$D$225,B103)</f>
        <v>Promo</v>
      </c>
      <c r="E103" s="5" t="n">
        <f aca="false">IF(INDEX('Running Order'!$B$2:$B$225,B103)="Y",INDEX('Running Order'!$E$2:$E$225,B103),0)</f>
        <v>0.000381944444444445</v>
      </c>
      <c r="F103" s="6" t="n">
        <f aca="false">(A103-1)*Summary!$B$5+INDEX('Running Order'!$F$2:$F$225,B103)</f>
        <v>46296.0336921296</v>
      </c>
      <c r="G103" s="6" t="n">
        <f aca="false">F103+E103</f>
        <v>46296.0340740741</v>
      </c>
      <c r="H103" s="24" t="str">
        <f aca="false">IF(INDEX('Running Order'!$B$2:$B$225,B103)="Y","on air","dropped")</f>
        <v>on air</v>
      </c>
      <c r="I103" s="24" t="str">
        <f aca="false">IF(F103&lt;Summary!$B$4+1,"yes","")</f>
        <v>yes</v>
      </c>
    </row>
    <row r="104" customFormat="false" ht="15" hidden="false" customHeight="false" outlineLevel="0" collapsed="false">
      <c r="A104" s="24" t="n">
        <f aca="false">INT((ROW()-2)/Summary!$B$8)+1</f>
        <v>1</v>
      </c>
      <c r="B104" s="24" t="n">
        <f aca="false">MOD(ROW()-2,Summary!$B$8)+1</f>
        <v>103</v>
      </c>
      <c r="C104" s="24" t="str">
        <f aca="false">INDEX('Running Order'!$C$2:$C$225,B104)</f>
        <v>CHANNEL MONTAGE</v>
      </c>
      <c r="D104" s="24" t="str">
        <f aca="false">INDEX('Running Order'!$D$2:$D$225,B104)</f>
        <v>Montage</v>
      </c>
      <c r="E104" s="5" t="n">
        <f aca="false">IF(INDEX('Running Order'!$B$2:$B$225,B104)="Y",INDEX('Running Order'!$E$2:$E$225,B104),0)</f>
        <v>0.000115740740740741</v>
      </c>
      <c r="F104" s="6" t="n">
        <f aca="false">(A104-1)*Summary!$B$5+INDEX('Running Order'!$F$2:$F$225,B104)</f>
        <v>46296.0340740741</v>
      </c>
      <c r="G104" s="6" t="n">
        <f aca="false">F104+E104</f>
        <v>46296.0341898148</v>
      </c>
      <c r="H104" s="24" t="str">
        <f aca="false">IF(INDEX('Running Order'!$B$2:$B$225,B104)="Y","on air","dropped")</f>
        <v>on air</v>
      </c>
      <c r="I104" s="24" t="str">
        <f aca="false">IF(F104&lt;Summary!$B$4+1,"yes","")</f>
        <v>yes</v>
      </c>
    </row>
    <row r="105" customFormat="false" ht="15" hidden="false" customHeight="false" outlineLevel="0" collapsed="false">
      <c r="A105" s="24" t="n">
        <f aca="false">INT((ROW()-2)/Summary!$B$8)+1</f>
        <v>1</v>
      </c>
      <c r="B105" s="24" t="n">
        <f aca="false">MOD(ROW()-2,Summary!$B$8)+1</f>
        <v>104</v>
      </c>
      <c r="C105" s="24" t="str">
        <f aca="false">INDEX('Running Order'!$C$2:$C$225,B105)</f>
        <v>Ep 9 - BAKED PLANTAIN AND SCRAMBLED EGG</v>
      </c>
      <c r="D105" s="24" t="str">
        <f aca="false">INDEX('Running Order'!$D$2:$D$225,B105)</f>
        <v>Programme</v>
      </c>
      <c r="E105" s="5" t="n">
        <f aca="false">IF(INDEX('Running Order'!$B$2:$B$225,B105)="Y",INDEX('Running Order'!$E$2:$E$225,B105),0)</f>
        <v>0.0104861111111111</v>
      </c>
      <c r="F105" s="6" t="n">
        <f aca="false">(A105-1)*Summary!$B$5+INDEX('Running Order'!$F$2:$F$225,B105)</f>
        <v>46296.0341898148</v>
      </c>
      <c r="G105" s="6" t="n">
        <f aca="false">F105+E105</f>
        <v>46296.0446759259</v>
      </c>
      <c r="H105" s="24" t="str">
        <f aca="false">IF(INDEX('Running Order'!$B$2:$B$225,B105)="Y","on air","dropped")</f>
        <v>on air</v>
      </c>
      <c r="I105" s="24" t="str">
        <f aca="false">IF(F105&lt;Summary!$B$4+1,"yes","")</f>
        <v>yes</v>
      </c>
    </row>
    <row r="106" customFormat="false" ht="15" hidden="false" customHeight="false" outlineLevel="0" collapsed="false">
      <c r="A106" s="24" t="n">
        <f aca="false">INT((ROW()-2)/Summary!$B$8)+1</f>
        <v>1</v>
      </c>
      <c r="B106" s="24" t="n">
        <f aca="false">MOD(ROW()-2,Summary!$B$8)+1</f>
        <v>105</v>
      </c>
      <c r="C106" s="24" t="str">
        <f aca="false">INDEX('Running Order'!$C$2:$C$225,B106)</f>
        <v>KIVO HOT PEPPER COMMERCIAL</v>
      </c>
      <c r="D106" s="24" t="str">
        <f aca="false">INDEX('Running Order'!$D$2:$D$225,B106)</f>
        <v>Commercial</v>
      </c>
      <c r="E106" s="5" t="n">
        <f aca="false">IF(INDEX('Running Order'!$B$2:$B$225,B106)="Y",INDEX('Running Order'!$E$2:$E$225,B106),0)</f>
        <v>0.000520833333333333</v>
      </c>
      <c r="F106" s="6" t="n">
        <f aca="false">(A106-1)*Summary!$B$5+INDEX('Running Order'!$F$2:$F$225,B106)</f>
        <v>46296.0446759259</v>
      </c>
      <c r="G106" s="6" t="n">
        <f aca="false">F106+E106</f>
        <v>46296.0451967593</v>
      </c>
      <c r="H106" s="24" t="str">
        <f aca="false">IF(INDEX('Running Order'!$B$2:$B$225,B106)="Y","on air","dropped")</f>
        <v>on air</v>
      </c>
      <c r="I106" s="24" t="str">
        <f aca="false">IF(F106&lt;Summary!$B$4+1,"yes","")</f>
        <v>yes</v>
      </c>
    </row>
    <row r="107" customFormat="false" ht="15" hidden="false" customHeight="false" outlineLevel="0" collapsed="false">
      <c r="A107" s="24" t="n">
        <f aca="false">INT((ROW()-2)/Summary!$B$8)+1</f>
        <v>1</v>
      </c>
      <c r="B107" s="24" t="n">
        <f aca="false">MOD(ROW()-2,Summary!$B$8)+1</f>
        <v>106</v>
      </c>
      <c r="C107" s="24" t="str">
        <f aca="false">INDEX('Running Order'!$C$2:$C$225,B107)</f>
        <v>LUNCH BOX COMING SOON</v>
      </c>
      <c r="D107" s="24" t="str">
        <f aca="false">INDEX('Running Order'!$D$2:$D$225,B107)</f>
        <v>Promo</v>
      </c>
      <c r="E107" s="5" t="n">
        <f aca="false">IF(INDEX('Running Order'!$B$2:$B$225,B107)="Y",INDEX('Running Order'!$E$2:$E$225,B107),0)</f>
        <v>0.000277777777777778</v>
      </c>
      <c r="F107" s="6" t="n">
        <f aca="false">(A107-1)*Summary!$B$5+INDEX('Running Order'!$F$2:$F$225,B107)</f>
        <v>46296.0451967593</v>
      </c>
      <c r="G107" s="6" t="n">
        <f aca="false">F107+E107</f>
        <v>46296.045474537</v>
      </c>
      <c r="H107" s="24" t="str">
        <f aca="false">IF(INDEX('Running Order'!$B$2:$B$225,B107)="Y","on air","dropped")</f>
        <v>on air</v>
      </c>
      <c r="I107" s="24" t="str">
        <f aca="false">IF(F107&lt;Summary!$B$4+1,"yes","")</f>
        <v>yes</v>
      </c>
    </row>
    <row r="108" customFormat="false" ht="15" hidden="false" customHeight="false" outlineLevel="0" collapsed="false">
      <c r="A108" s="24" t="n">
        <f aca="false">INT((ROW()-2)/Summary!$B$8)+1</f>
        <v>1</v>
      </c>
      <c r="B108" s="24" t="n">
        <f aca="false">MOD(ROW()-2,Summary!$B$8)+1</f>
        <v>107</v>
      </c>
      <c r="C108" s="24" t="str">
        <f aca="false">INDEX('Running Order'!$C$2:$C$225,B108)</f>
        <v>TATTASE COFFEE STING</v>
      </c>
      <c r="D108" s="24" t="str">
        <f aca="false">INDEX('Running Order'!$D$2:$D$225,B108)</f>
        <v>Sting</v>
      </c>
      <c r="E108" s="5" t="n">
        <f aca="false">IF(INDEX('Running Order'!$B$2:$B$225,B108)="Y",INDEX('Running Order'!$E$2:$E$225,B108),0)</f>
        <v>9.25925925925926E-005</v>
      </c>
      <c r="F108" s="6" t="n">
        <f aca="false">(A108-1)*Summary!$B$5+INDEX('Running Order'!$F$2:$F$225,B108)</f>
        <v>46296.045474537</v>
      </c>
      <c r="G108" s="6" t="n">
        <f aca="false">F108+E108</f>
        <v>46296.0455671296</v>
      </c>
      <c r="H108" s="24" t="str">
        <f aca="false">IF(INDEX('Running Order'!$B$2:$B$225,B108)="Y","on air","dropped")</f>
        <v>on air</v>
      </c>
      <c r="I108" s="24" t="str">
        <f aca="false">IF(F108&lt;Summary!$B$4+1,"yes","")</f>
        <v>yes</v>
      </c>
    </row>
    <row r="109" customFormat="false" ht="15" hidden="false" customHeight="false" outlineLevel="0" collapsed="false">
      <c r="A109" s="24" t="n">
        <f aca="false">INT((ROW()-2)/Summary!$B$8)+1</f>
        <v>1</v>
      </c>
      <c r="B109" s="24" t="n">
        <f aca="false">MOD(ROW()-2,Summary!$B$8)+1</f>
        <v>108</v>
      </c>
      <c r="C109" s="24" t="str">
        <f aca="false">INDEX('Running Order'!$C$2:$C$225,B109)</f>
        <v>ABUJA NYSC CAMP LETS JOLLOF</v>
      </c>
      <c r="D109" s="24" t="str">
        <f aca="false">INDEX('Running Order'!$D$2:$D$225,B109)</f>
        <v>Short</v>
      </c>
      <c r="E109" s="5" t="n">
        <f aca="false">IF(INDEX('Running Order'!$B$2:$B$225,B109)="Y",INDEX('Running Order'!$E$2:$E$225,B109),0)</f>
        <v>0.000555555555555556</v>
      </c>
      <c r="F109" s="6" t="n">
        <f aca="false">(A109-1)*Summary!$B$5+INDEX('Running Order'!$F$2:$F$225,B109)</f>
        <v>46296.0455671296</v>
      </c>
      <c r="G109" s="6" t="n">
        <f aca="false">F109+E109</f>
        <v>46296.0461226852</v>
      </c>
      <c r="H109" s="24" t="str">
        <f aca="false">IF(INDEX('Running Order'!$B$2:$B$225,B109)="Y","on air","dropped")</f>
        <v>on air</v>
      </c>
      <c r="I109" s="24" t="str">
        <f aca="false">IF(F109&lt;Summary!$B$4+1,"yes","")</f>
        <v>yes</v>
      </c>
    </row>
    <row r="110" customFormat="false" ht="15" hidden="false" customHeight="false" outlineLevel="0" collapsed="false">
      <c r="A110" s="24" t="n">
        <f aca="false">INT((ROW()-2)/Summary!$B$8)+1</f>
        <v>1</v>
      </c>
      <c r="B110" s="24" t="n">
        <f aca="false">MOD(ROW()-2,Summary!$B$8)+1</f>
        <v>109</v>
      </c>
      <c r="C110" s="24" t="str">
        <f aca="false">INDEX('Running Order'!$C$2:$C$225,B110)</f>
        <v>FOODIE SHOUTOUTS</v>
      </c>
      <c r="D110" s="24" t="str">
        <f aca="false">INDEX('Running Order'!$D$2:$D$225,B110)</f>
        <v>Short</v>
      </c>
      <c r="E110" s="5" t="n">
        <f aca="false">IF(INDEX('Running Order'!$B$2:$B$225,B110)="Y",INDEX('Running Order'!$E$2:$E$225,B110),0)</f>
        <v>0.000902777777777778</v>
      </c>
      <c r="F110" s="6" t="n">
        <f aca="false">(A110-1)*Summary!$B$5+INDEX('Running Order'!$F$2:$F$225,B110)</f>
        <v>46296.0461226852</v>
      </c>
      <c r="G110" s="6" t="n">
        <f aca="false">F110+E110</f>
        <v>46296.047025463</v>
      </c>
      <c r="H110" s="24" t="str">
        <f aca="false">IF(INDEX('Running Order'!$B$2:$B$225,B110)="Y","on air","dropped")</f>
        <v>on air</v>
      </c>
      <c r="I110" s="24" t="str">
        <f aca="false">IF(F110&lt;Summary!$B$4+1,"yes","")</f>
        <v>yes</v>
      </c>
    </row>
    <row r="111" customFormat="false" ht="15" hidden="false" customHeight="false" outlineLevel="0" collapsed="false">
      <c r="A111" s="24" t="n">
        <f aca="false">INT((ROW()-2)/Summary!$B$8)+1</f>
        <v>1</v>
      </c>
      <c r="B111" s="24" t="n">
        <f aca="false">MOD(ROW()-2,Summary!$B$8)+1</f>
        <v>110</v>
      </c>
      <c r="C111" s="24" t="str">
        <f aca="false">INDEX('Running Order'!$C$2:$C$225,B111)</f>
        <v>GTCO FOOD AND DRINKS TV6</v>
      </c>
      <c r="D111" s="24" t="str">
        <f aca="false">INDEX('Running Order'!$D$2:$D$225,B111)</f>
        <v>Short</v>
      </c>
      <c r="E111" s="5" t="n">
        <f aca="false">IF(INDEX('Running Order'!$B$2:$B$225,B111)="Y",INDEX('Running Order'!$E$2:$E$225,B111),0)</f>
        <v>0.00068287037037037</v>
      </c>
      <c r="F111" s="6" t="n">
        <f aca="false">(A111-1)*Summary!$B$5+INDEX('Running Order'!$F$2:$F$225,B111)</f>
        <v>46296.047025463</v>
      </c>
      <c r="G111" s="6" t="n">
        <f aca="false">F111+E111</f>
        <v>46296.0477083333</v>
      </c>
      <c r="H111" s="24" t="str">
        <f aca="false">IF(INDEX('Running Order'!$B$2:$B$225,B111)="Y","on air","dropped")</f>
        <v>on air</v>
      </c>
      <c r="I111" s="24" t="str">
        <f aca="false">IF(F111&lt;Summary!$B$4+1,"yes","")</f>
        <v>yes</v>
      </c>
    </row>
    <row r="112" customFormat="false" ht="15" hidden="false" customHeight="false" outlineLevel="0" collapsed="false">
      <c r="A112" s="24" t="n">
        <f aca="false">INT((ROW()-2)/Summary!$B$8)+1</f>
        <v>1</v>
      </c>
      <c r="B112" s="24" t="n">
        <f aca="false">MOD(ROW()-2,Summary!$B$8)+1</f>
        <v>111</v>
      </c>
      <c r="C112" s="24" t="str">
        <f aca="false">INDEX('Running Order'!$C$2:$C$225,B112)</f>
        <v>TATTASE TV STING</v>
      </c>
      <c r="D112" s="24" t="str">
        <f aca="false">INDEX('Running Order'!$D$2:$D$225,B112)</f>
        <v>Sting</v>
      </c>
      <c r="E112" s="5" t="n">
        <f aca="false">IF(INDEX('Running Order'!$B$2:$B$225,B112)="Y",INDEX('Running Order'!$E$2:$E$225,B112),0)</f>
        <v>6.94444444444444E-005</v>
      </c>
      <c r="F112" s="6" t="n">
        <f aca="false">(A112-1)*Summary!$B$5+INDEX('Running Order'!$F$2:$F$225,B112)</f>
        <v>46296.0477083333</v>
      </c>
      <c r="G112" s="6" t="n">
        <f aca="false">F112+E112</f>
        <v>46296.0477777778</v>
      </c>
      <c r="H112" s="24" t="str">
        <f aca="false">IF(INDEX('Running Order'!$B$2:$B$225,B112)="Y","on air","dropped")</f>
        <v>on air</v>
      </c>
      <c r="I112" s="24" t="str">
        <f aca="false">IF(F112&lt;Summary!$B$4+1,"yes","")</f>
        <v>yes</v>
      </c>
    </row>
    <row r="113" customFormat="false" ht="15" hidden="false" customHeight="false" outlineLevel="0" collapsed="false">
      <c r="A113" s="24" t="n">
        <f aca="false">INT((ROW()-2)/Summary!$B$8)+1</f>
        <v>1</v>
      </c>
      <c r="B113" s="24" t="n">
        <f aca="false">MOD(ROW()-2,Summary!$B$8)+1</f>
        <v>112</v>
      </c>
      <c r="C113" s="24" t="str">
        <f aca="false">INDEX('Running Order'!$C$2:$C$225,B113)</f>
        <v>CURRIED SPAGHETTI WITH SHREDDED BEEF by CHIOMA AKPOTHA</v>
      </c>
      <c r="D113" s="24" t="str">
        <f aca="false">INDEX('Running Order'!$D$2:$D$225,B113)</f>
        <v>Short</v>
      </c>
      <c r="E113" s="5" t="n">
        <f aca="false">IF(INDEX('Running Order'!$B$2:$B$225,B113)="Y",INDEX('Running Order'!$E$2:$E$225,B113),0)</f>
        <v>0.00200231481481482</v>
      </c>
      <c r="F113" s="6" t="n">
        <f aca="false">(A113-1)*Summary!$B$5+INDEX('Running Order'!$F$2:$F$225,B113)</f>
        <v>46296.0477777778</v>
      </c>
      <c r="G113" s="6" t="n">
        <f aca="false">F113+E113</f>
        <v>46296.0497800926</v>
      </c>
      <c r="H113" s="24" t="str">
        <f aca="false">IF(INDEX('Running Order'!$B$2:$B$225,B113)="Y","on air","dropped")</f>
        <v>on air</v>
      </c>
      <c r="I113" s="24" t="str">
        <f aca="false">IF(F113&lt;Summary!$B$4+1,"yes","")</f>
        <v>yes</v>
      </c>
    </row>
    <row r="114" customFormat="false" ht="15" hidden="false" customHeight="false" outlineLevel="0" collapsed="false">
      <c r="A114" s="24" t="n">
        <f aca="false">INT((ROW()-2)/Summary!$B$8)+1</f>
        <v>1</v>
      </c>
      <c r="B114" s="24" t="n">
        <f aca="false">MOD(ROW()-2,Summary!$B$8)+1</f>
        <v>113</v>
      </c>
      <c r="C114" s="24" t="str">
        <f aca="false">INDEX('Running Order'!$C$2:$C$225,B114)</f>
        <v>Olam Cocoa Ghana</v>
      </c>
      <c r="D114" s="24" t="str">
        <f aca="false">INDEX('Running Order'!$D$2:$D$225,B114)</f>
        <v>Programme</v>
      </c>
      <c r="E114" s="5" t="n">
        <f aca="false">IF(INDEX('Running Order'!$B$2:$B$225,B114)="Y",INDEX('Running Order'!$E$2:$E$225,B114),0)</f>
        <v>0.00628472222222222</v>
      </c>
      <c r="F114" s="6" t="n">
        <f aca="false">(A114-1)*Summary!$B$5+INDEX('Running Order'!$F$2:$F$225,B114)</f>
        <v>46296.0497800926</v>
      </c>
      <c r="G114" s="6" t="n">
        <f aca="false">F114+E114</f>
        <v>46296.0560648148</v>
      </c>
      <c r="H114" s="24" t="str">
        <f aca="false">IF(INDEX('Running Order'!$B$2:$B$225,B114)="Y","on air","dropped")</f>
        <v>on air</v>
      </c>
      <c r="I114" s="24" t="str">
        <f aca="false">IF(F114&lt;Summary!$B$4+1,"yes","")</f>
        <v>yes</v>
      </c>
    </row>
    <row r="115" customFormat="false" ht="15" hidden="false" customHeight="false" outlineLevel="0" collapsed="false">
      <c r="A115" s="24" t="n">
        <f aca="false">INT((ROW()-2)/Summary!$B$8)+1</f>
        <v>1</v>
      </c>
      <c r="B115" s="24" t="n">
        <f aca="false">MOD(ROW()-2,Summary!$B$8)+1</f>
        <v>114</v>
      </c>
      <c r="C115" s="24" t="str">
        <f aca="false">INDEX('Running Order'!$C$2:$C$225,B115)</f>
        <v>TATTASE TV CHANNEL MONTAGE</v>
      </c>
      <c r="D115" s="24" t="str">
        <f aca="false">INDEX('Running Order'!$D$2:$D$225,B115)</f>
        <v>Montage</v>
      </c>
      <c r="E115" s="5" t="n">
        <f aca="false">IF(INDEX('Running Order'!$B$2:$B$225,B115)="Y",INDEX('Running Order'!$E$2:$E$225,B115),0)</f>
        <v>0.000115740740740741</v>
      </c>
      <c r="F115" s="6" t="n">
        <f aca="false">(A115-1)*Summary!$B$5+INDEX('Running Order'!$F$2:$F$225,B115)</f>
        <v>46296.0560648148</v>
      </c>
      <c r="G115" s="6" t="n">
        <f aca="false">F115+E115</f>
        <v>46296.0561805556</v>
      </c>
      <c r="H115" s="24" t="str">
        <f aca="false">IF(INDEX('Running Order'!$B$2:$B$225,B115)="Y","on air","dropped")</f>
        <v>on air</v>
      </c>
      <c r="I115" s="24" t="str">
        <f aca="false">IF(F115&lt;Summary!$B$4+1,"yes","")</f>
        <v>yes</v>
      </c>
    </row>
    <row r="116" customFormat="false" ht="15" hidden="false" customHeight="false" outlineLevel="0" collapsed="false">
      <c r="A116" s="24" t="n">
        <f aca="false">INT((ROW()-2)/Summary!$B$8)+1</f>
        <v>1</v>
      </c>
      <c r="B116" s="24" t="n">
        <f aca="false">MOD(ROW()-2,Summary!$B$8)+1</f>
        <v>115</v>
      </c>
      <c r="C116" s="24" t="str">
        <f aca="false">INDEX('Running Order'!$C$2:$C$225,B116)</f>
        <v>Waffest day 2 beach hangout</v>
      </c>
      <c r="D116" s="24" t="str">
        <f aca="false">INDEX('Running Order'!$D$2:$D$225,B116)</f>
        <v>Short</v>
      </c>
      <c r="E116" s="5" t="n">
        <f aca="false">IF(INDEX('Running Order'!$B$2:$B$225,B116)="Y",INDEX('Running Order'!$E$2:$E$225,B116),0)</f>
        <v>0.000798611111111111</v>
      </c>
      <c r="F116" s="6" t="n">
        <f aca="false">(A116-1)*Summary!$B$5+INDEX('Running Order'!$F$2:$F$225,B116)</f>
        <v>46296.0561805556</v>
      </c>
      <c r="G116" s="6" t="n">
        <f aca="false">F116+E116</f>
        <v>46296.0569791667</v>
      </c>
      <c r="H116" s="24" t="str">
        <f aca="false">IF(INDEX('Running Order'!$B$2:$B$225,B116)="Y","on air","dropped")</f>
        <v>on air</v>
      </c>
      <c r="I116" s="24" t="str">
        <f aca="false">IF(F116&lt;Summary!$B$4+1,"yes","")</f>
        <v>yes</v>
      </c>
    </row>
    <row r="117" customFormat="false" ht="15" hidden="false" customHeight="false" outlineLevel="0" collapsed="false">
      <c r="A117" s="24" t="n">
        <f aca="false">INT((ROW()-2)/Summary!$B$8)+1</f>
        <v>1</v>
      </c>
      <c r="B117" s="24" t="n">
        <f aca="false">MOD(ROW()-2,Summary!$B$8)+1</f>
        <v>116</v>
      </c>
      <c r="C117" s="24" t="str">
        <f aca="false">INDEX('Running Order'!$C$2:$C$225,B117)</f>
        <v>BAKERACE TV</v>
      </c>
      <c r="D117" s="24" t="str">
        <f aca="false">INDEX('Running Order'!$D$2:$D$225,B117)</f>
        <v>Short</v>
      </c>
      <c r="E117" s="5" t="n">
        <f aca="false">IF(INDEX('Running Order'!$B$2:$B$225,B117)="Y",INDEX('Running Order'!$E$2:$E$225,B117),0)</f>
        <v>0.00103009259259259</v>
      </c>
      <c r="F117" s="6" t="n">
        <f aca="false">(A117-1)*Summary!$B$5+INDEX('Running Order'!$F$2:$F$225,B117)</f>
        <v>46296.0569791667</v>
      </c>
      <c r="G117" s="6" t="n">
        <f aca="false">F117+E117</f>
        <v>46296.0580092593</v>
      </c>
      <c r="H117" s="24" t="str">
        <f aca="false">IF(INDEX('Running Order'!$B$2:$B$225,B117)="Y","on air","dropped")</f>
        <v>on air</v>
      </c>
      <c r="I117" s="24" t="str">
        <f aca="false">IF(F117&lt;Summary!$B$4+1,"yes","")</f>
        <v>yes</v>
      </c>
    </row>
    <row r="118" customFormat="false" ht="15" hidden="false" customHeight="false" outlineLevel="0" collapsed="false">
      <c r="A118" s="24" t="n">
        <f aca="false">INT((ROW()-2)/Summary!$B$8)+1</f>
        <v>1</v>
      </c>
      <c r="B118" s="24" t="n">
        <f aca="false">MOD(ROW()-2,Summary!$B$8)+1</f>
        <v>117</v>
      </c>
      <c r="C118" s="24" t="str">
        <f aca="false">INDEX('Running Order'!$C$2:$C$225,B118)</f>
        <v>ADESUA VIVA COMMERCIAL</v>
      </c>
      <c r="D118" s="24" t="str">
        <f aca="false">INDEX('Running Order'!$D$2:$D$225,B118)</f>
        <v>Commercial</v>
      </c>
      <c r="E118" s="5" t="n">
        <f aca="false">IF(INDEX('Running Order'!$B$2:$B$225,B118)="Y",INDEX('Running Order'!$E$2:$E$225,B118),0)</f>
        <v>0.00114583333333333</v>
      </c>
      <c r="F118" s="6" t="n">
        <f aca="false">(A118-1)*Summary!$B$5+INDEX('Running Order'!$F$2:$F$225,B118)</f>
        <v>46296.0580092593</v>
      </c>
      <c r="G118" s="6" t="n">
        <f aca="false">F118+E118</f>
        <v>46296.0591550926</v>
      </c>
      <c r="H118" s="24" t="str">
        <f aca="false">IF(INDEX('Running Order'!$B$2:$B$225,B118)="Y","on air","dropped")</f>
        <v>on air</v>
      </c>
      <c r="I118" s="24" t="str">
        <f aca="false">IF(F118&lt;Summary!$B$4+1,"yes","")</f>
        <v>yes</v>
      </c>
    </row>
    <row r="119" customFormat="false" ht="15" hidden="false" customHeight="false" outlineLevel="0" collapsed="false">
      <c r="A119" s="24" t="n">
        <f aca="false">INT((ROW()-2)/Summary!$B$8)+1</f>
        <v>1</v>
      </c>
      <c r="B119" s="24" t="n">
        <f aca="false">MOD(ROW()-2,Summary!$B$8)+1</f>
        <v>118</v>
      </c>
      <c r="C119" s="24" t="str">
        <f aca="false">INDEX('Running Order'!$C$2:$C$225,B119)</f>
        <v>COCACOLA RECIPE WONDER</v>
      </c>
      <c r="D119" s="24" t="str">
        <f aca="false">INDEX('Running Order'!$D$2:$D$225,B119)</f>
        <v>Short</v>
      </c>
      <c r="E119" s="5" t="n">
        <f aca="false">IF(INDEX('Running Order'!$B$2:$B$225,B119)="Y",INDEX('Running Order'!$E$2:$E$225,B119),0)</f>
        <v>0.000347222222222222</v>
      </c>
      <c r="F119" s="6" t="n">
        <f aca="false">(A119-1)*Summary!$B$5+INDEX('Running Order'!$F$2:$F$225,B119)</f>
        <v>46296.0591550926</v>
      </c>
      <c r="G119" s="6" t="n">
        <f aca="false">F119+E119</f>
        <v>46296.0595023148</v>
      </c>
      <c r="H119" s="24" t="str">
        <f aca="false">IF(INDEX('Running Order'!$B$2:$B$225,B119)="Y","on air","dropped")</f>
        <v>on air</v>
      </c>
      <c r="I119" s="24" t="str">
        <f aca="false">IF(F119&lt;Summary!$B$4+1,"yes","")</f>
        <v>yes</v>
      </c>
    </row>
    <row r="120" customFormat="false" ht="15" hidden="false" customHeight="false" outlineLevel="0" collapsed="false">
      <c r="A120" s="24" t="n">
        <f aca="false">INT((ROW()-2)/Summary!$B$8)+1</f>
        <v>1</v>
      </c>
      <c r="B120" s="24" t="n">
        <f aca="false">MOD(ROW()-2,Summary!$B$8)+1</f>
        <v>119</v>
      </c>
      <c r="C120" s="24" t="str">
        <f aca="false">INDEX('Running Order'!$C$2:$C$225,B120)</f>
        <v>TATTASE TV STING</v>
      </c>
      <c r="D120" s="24" t="str">
        <f aca="false">INDEX('Running Order'!$D$2:$D$225,B120)</f>
        <v>Sting</v>
      </c>
      <c r="E120" s="5" t="n">
        <f aca="false">IF(INDEX('Running Order'!$B$2:$B$225,B120)="Y",INDEX('Running Order'!$E$2:$E$225,B120),0)</f>
        <v>6.94444444444444E-005</v>
      </c>
      <c r="F120" s="6" t="n">
        <f aca="false">(A120-1)*Summary!$B$5+INDEX('Running Order'!$F$2:$F$225,B120)</f>
        <v>46296.0595023148</v>
      </c>
      <c r="G120" s="6" t="n">
        <f aca="false">F120+E120</f>
        <v>46296.0595717593</v>
      </c>
      <c r="H120" s="24" t="str">
        <f aca="false">IF(INDEX('Running Order'!$B$2:$B$225,B120)="Y","on air","dropped")</f>
        <v>on air</v>
      </c>
      <c r="I120" s="24" t="str">
        <f aca="false">IF(F120&lt;Summary!$B$4+1,"yes","")</f>
        <v>yes</v>
      </c>
    </row>
    <row r="121" customFormat="false" ht="15" hidden="false" customHeight="false" outlineLevel="0" collapsed="false">
      <c r="A121" s="24" t="n">
        <f aca="false">INT((ROW()-2)/Summary!$B$8)+1</f>
        <v>1</v>
      </c>
      <c r="B121" s="24" t="n">
        <f aca="false">MOD(ROW()-2,Summary!$B$8)+1</f>
        <v>120</v>
      </c>
      <c r="C121" s="24" t="str">
        <f aca="false">INDEX('Running Order'!$C$2:$C$225,B121)</f>
        <v>CHEF EHIS FOR TV</v>
      </c>
      <c r="D121" s="24" t="str">
        <f aca="false">INDEX('Running Order'!$D$2:$D$225,B121)</f>
        <v>Programme</v>
      </c>
      <c r="E121" s="5" t="n">
        <f aca="false">IF(INDEX('Running Order'!$B$2:$B$225,B121)="Y",INDEX('Running Order'!$E$2:$E$225,B121),0)</f>
        <v>0.0207060185185185</v>
      </c>
      <c r="F121" s="6" t="n">
        <f aca="false">(A121-1)*Summary!$B$5+INDEX('Running Order'!$F$2:$F$225,B121)</f>
        <v>46296.0595717593</v>
      </c>
      <c r="G121" s="6" t="n">
        <f aca="false">F121+E121</f>
        <v>46296.0802777778</v>
      </c>
      <c r="H121" s="24" t="str">
        <f aca="false">IF(INDEX('Running Order'!$B$2:$B$225,B121)="Y","on air","dropped")</f>
        <v>on air</v>
      </c>
      <c r="I121" s="24" t="str">
        <f aca="false">IF(F121&lt;Summary!$B$4+1,"yes","")</f>
        <v>yes</v>
      </c>
    </row>
    <row r="122" customFormat="false" ht="15" hidden="false" customHeight="false" outlineLevel="0" collapsed="false">
      <c r="A122" s="24" t="n">
        <f aca="false">INT((ROW()-2)/Summary!$B$8)+1</f>
        <v>1</v>
      </c>
      <c r="B122" s="24" t="n">
        <f aca="false">MOD(ROW()-2,Summary!$B$8)+1</f>
        <v>121</v>
      </c>
      <c r="C122" s="24" t="str">
        <f aca="false">INDEX('Running Order'!$C$2:$C$225,B122)</f>
        <v>Coffee on work table sting</v>
      </c>
      <c r="D122" s="24" t="str">
        <f aca="false">INDEX('Running Order'!$D$2:$D$225,B122)</f>
        <v>Sting</v>
      </c>
      <c r="E122" s="5" t="n">
        <f aca="false">IF(INDEX('Running Order'!$B$2:$B$225,B122)="Y",INDEX('Running Order'!$E$2:$E$225,B122),0)</f>
        <v>9.25925925925926E-005</v>
      </c>
      <c r="F122" s="6" t="n">
        <f aca="false">(A122-1)*Summary!$B$5+INDEX('Running Order'!$F$2:$F$225,B122)</f>
        <v>46296.0802777778</v>
      </c>
      <c r="G122" s="6" t="n">
        <f aca="false">F122+E122</f>
        <v>46296.0803703704</v>
      </c>
      <c r="H122" s="24" t="str">
        <f aca="false">IF(INDEX('Running Order'!$B$2:$B$225,B122)="Y","on air","dropped")</f>
        <v>on air</v>
      </c>
      <c r="I122" s="24" t="str">
        <f aca="false">IF(F122&lt;Summary!$B$4+1,"yes","")</f>
        <v>yes</v>
      </c>
    </row>
    <row r="123" customFormat="false" ht="15" hidden="false" customHeight="false" outlineLevel="0" collapsed="false">
      <c r="A123" s="24" t="n">
        <f aca="false">INT((ROW()-2)/Summary!$B$8)+1</f>
        <v>1</v>
      </c>
      <c r="B123" s="24" t="n">
        <f aca="false">MOD(ROW()-2,Summary!$B$8)+1</f>
        <v>122</v>
      </c>
      <c r="C123" s="24" t="str">
        <f aca="false">INDEX('Running Order'!$C$2:$C$225,B123)</f>
        <v>Hilda Bacis inspiring NoLimits Story</v>
      </c>
      <c r="D123" s="24" t="str">
        <f aca="false">INDEX('Running Order'!$D$2:$D$225,B123)</f>
        <v>Programme</v>
      </c>
      <c r="E123" s="5" t="n">
        <f aca="false">IF(INDEX('Running Order'!$B$2:$B$225,B123)="Y",INDEX('Running Order'!$E$2:$E$225,B123),0)</f>
        <v>0.00340277777777778</v>
      </c>
      <c r="F123" s="6" t="n">
        <f aca="false">(A123-1)*Summary!$B$5+INDEX('Running Order'!$F$2:$F$225,B123)</f>
        <v>46296.0803703704</v>
      </c>
      <c r="G123" s="6" t="n">
        <f aca="false">F123+E123</f>
        <v>46296.0837731482</v>
      </c>
      <c r="H123" s="24" t="str">
        <f aca="false">IF(INDEX('Running Order'!$B$2:$B$225,B123)="Y","on air","dropped")</f>
        <v>on air</v>
      </c>
      <c r="I123" s="24" t="str">
        <f aca="false">IF(F123&lt;Summary!$B$4+1,"yes","")</f>
        <v>yes</v>
      </c>
    </row>
    <row r="124" customFormat="false" ht="15" hidden="false" customHeight="false" outlineLevel="0" collapsed="false">
      <c r="A124" s="24" t="n">
        <f aca="false">INT((ROW()-2)/Summary!$B$8)+1</f>
        <v>1</v>
      </c>
      <c r="B124" s="24" t="n">
        <f aca="false">MOD(ROW()-2,Summary!$B$8)+1</f>
        <v>123</v>
      </c>
      <c r="C124" s="24" t="str">
        <f aca="false">INDEX('Running Order'!$C$2:$C$225,B124)</f>
        <v>HOTEL EXPO 2023 DAY 1</v>
      </c>
      <c r="D124" s="24" t="str">
        <f aca="false">INDEX('Running Order'!$D$2:$D$225,B124)</f>
        <v>Short</v>
      </c>
      <c r="E124" s="5" t="n">
        <f aca="false">IF(INDEX('Running Order'!$B$2:$B$225,B124)="Y",INDEX('Running Order'!$E$2:$E$225,B124),0)</f>
        <v>0.00103009259259259</v>
      </c>
      <c r="F124" s="6" t="n">
        <f aca="false">(A124-1)*Summary!$B$5+INDEX('Running Order'!$F$2:$F$225,B124)</f>
        <v>46296.0837731482</v>
      </c>
      <c r="G124" s="6" t="n">
        <f aca="false">F124+E124</f>
        <v>46296.0848032407</v>
      </c>
      <c r="H124" s="24" t="str">
        <f aca="false">IF(INDEX('Running Order'!$B$2:$B$225,B124)="Y","on air","dropped")</f>
        <v>on air</v>
      </c>
      <c r="I124" s="24" t="str">
        <f aca="false">IF(F124&lt;Summary!$B$4+1,"yes","")</f>
        <v>yes</v>
      </c>
    </row>
    <row r="125" customFormat="false" ht="15" hidden="false" customHeight="false" outlineLevel="0" collapsed="false">
      <c r="A125" s="24" t="n">
        <f aca="false">INT((ROW()-2)/Summary!$B$8)+1</f>
        <v>1</v>
      </c>
      <c r="B125" s="24" t="n">
        <f aca="false">MOD(ROW()-2,Summary!$B$8)+1</f>
        <v>124</v>
      </c>
      <c r="C125" s="24" t="str">
        <f aca="false">INDEX('Running Order'!$C$2:$C$225,B125)</f>
        <v>CHANNEL MONTAGE</v>
      </c>
      <c r="D125" s="24" t="str">
        <f aca="false">INDEX('Running Order'!$D$2:$D$225,B125)</f>
        <v>Montage</v>
      </c>
      <c r="E125" s="5" t="n">
        <f aca="false">IF(INDEX('Running Order'!$B$2:$B$225,B125)="Y",INDEX('Running Order'!$E$2:$E$225,B125),0)</f>
        <v>0.000115740740740741</v>
      </c>
      <c r="F125" s="6" t="n">
        <f aca="false">(A125-1)*Summary!$B$5+INDEX('Running Order'!$F$2:$F$225,B125)</f>
        <v>46296.0848032407</v>
      </c>
      <c r="G125" s="6" t="n">
        <f aca="false">F125+E125</f>
        <v>46296.0849189815</v>
      </c>
      <c r="H125" s="24" t="str">
        <f aca="false">IF(INDEX('Running Order'!$B$2:$B$225,B125)="Y","on air","dropped")</f>
        <v>on air</v>
      </c>
      <c r="I125" s="24" t="str">
        <f aca="false">IF(F125&lt;Summary!$B$4+1,"yes","")</f>
        <v>yes</v>
      </c>
    </row>
    <row r="126" customFormat="false" ht="15" hidden="false" customHeight="false" outlineLevel="0" collapsed="false">
      <c r="A126" s="24" t="n">
        <f aca="false">INT((ROW()-2)/Summary!$B$8)+1</f>
        <v>1</v>
      </c>
      <c r="B126" s="24" t="n">
        <f aca="false">MOD(ROW()-2,Summary!$B$8)+1</f>
        <v>125</v>
      </c>
      <c r="C126" s="24" t="str">
        <f aca="false">INDEX('Running Order'!$C$2:$C$225,B126)</f>
        <v>PAPER PACKAGING COMP</v>
      </c>
      <c r="D126" s="24" t="str">
        <f aca="false">INDEX('Running Order'!$D$2:$D$225,B126)</f>
        <v>Programme</v>
      </c>
      <c r="E126" s="5" t="n">
        <f aca="false">IF(INDEX('Running Order'!$B$2:$B$225,B126)="Y",INDEX('Running Order'!$E$2:$E$225,B126),0)</f>
        <v>0.0021875</v>
      </c>
      <c r="F126" s="6" t="n">
        <f aca="false">(A126-1)*Summary!$B$5+INDEX('Running Order'!$F$2:$F$225,B126)</f>
        <v>46296.0849189815</v>
      </c>
      <c r="G126" s="6" t="n">
        <f aca="false">F126+E126</f>
        <v>46296.0871064815</v>
      </c>
      <c r="H126" s="24" t="str">
        <f aca="false">IF(INDEX('Running Order'!$B$2:$B$225,B126)="Y","on air","dropped")</f>
        <v>on air</v>
      </c>
      <c r="I126" s="24" t="str">
        <f aca="false">IF(F126&lt;Summary!$B$4+1,"yes","")</f>
        <v>yes</v>
      </c>
    </row>
    <row r="127" customFormat="false" ht="15" hidden="false" customHeight="false" outlineLevel="0" collapsed="false">
      <c r="A127" s="24" t="n">
        <f aca="false">INT((ROW()-2)/Summary!$B$8)+1</f>
        <v>1</v>
      </c>
      <c r="B127" s="24" t="n">
        <f aca="false">MOD(ROW()-2,Summary!$B$8)+1</f>
        <v>126</v>
      </c>
      <c r="C127" s="24" t="str">
        <f aca="false">INDEX('Running Order'!$C$2:$C$225,B127)</f>
        <v>TATTASE TV STING</v>
      </c>
      <c r="D127" s="24" t="str">
        <f aca="false">INDEX('Running Order'!$D$2:$D$225,B127)</f>
        <v>Sting</v>
      </c>
      <c r="E127" s="5" t="n">
        <f aca="false">IF(INDEX('Running Order'!$B$2:$B$225,B127)="Y",INDEX('Running Order'!$E$2:$E$225,B127),0)</f>
        <v>6.94444444444444E-005</v>
      </c>
      <c r="F127" s="6" t="n">
        <f aca="false">(A127-1)*Summary!$B$5+INDEX('Running Order'!$F$2:$F$225,B127)</f>
        <v>46296.0871064815</v>
      </c>
      <c r="G127" s="6" t="n">
        <f aca="false">F127+E127</f>
        <v>46296.0871759259</v>
      </c>
      <c r="H127" s="24" t="str">
        <f aca="false">IF(INDEX('Running Order'!$B$2:$B$225,B127)="Y","on air","dropped")</f>
        <v>on air</v>
      </c>
      <c r="I127" s="24" t="str">
        <f aca="false">IF(F127&lt;Summary!$B$4+1,"yes","")</f>
        <v>yes</v>
      </c>
    </row>
    <row r="128" customFormat="false" ht="15" hidden="false" customHeight="false" outlineLevel="0" collapsed="false">
      <c r="A128" s="24" t="n">
        <f aca="false">INT((ROW()-2)/Summary!$B$8)+1</f>
        <v>1</v>
      </c>
      <c r="B128" s="24" t="n">
        <f aca="false">MOD(ROW()-2,Summary!$B$8)+1</f>
        <v>127</v>
      </c>
      <c r="C128" s="24" t="str">
        <f aca="false">INDEX('Running Order'!$C$2:$C$225,B128)</f>
        <v>the new Ayoola Poundo Yam Packs</v>
      </c>
      <c r="D128" s="24" t="str">
        <f aca="false">INDEX('Running Order'!$D$2:$D$225,B128)</f>
        <v>Commercial</v>
      </c>
      <c r="E128" s="5" t="n">
        <f aca="false">IF(INDEX('Running Order'!$B$2:$B$225,B128)="Y",INDEX('Running Order'!$E$2:$E$225,B128),0)</f>
        <v>0.00149305555555556</v>
      </c>
      <c r="F128" s="6" t="n">
        <f aca="false">(A128-1)*Summary!$B$5+INDEX('Running Order'!$F$2:$F$225,B128)</f>
        <v>46296.0871759259</v>
      </c>
      <c r="G128" s="6" t="n">
        <f aca="false">F128+E128</f>
        <v>46296.0886689815</v>
      </c>
      <c r="H128" s="24" t="str">
        <f aca="false">IF(INDEX('Running Order'!$B$2:$B$225,B128)="Y","on air","dropped")</f>
        <v>on air</v>
      </c>
      <c r="I128" s="24" t="str">
        <f aca="false">IF(F128&lt;Summary!$B$4+1,"yes","")</f>
        <v>yes</v>
      </c>
    </row>
    <row r="129" customFormat="false" ht="15" hidden="false" customHeight="false" outlineLevel="0" collapsed="false">
      <c r="A129" s="24" t="n">
        <f aca="false">INT((ROW()-2)/Summary!$B$8)+1</f>
        <v>1</v>
      </c>
      <c r="B129" s="24" t="n">
        <f aca="false">MOD(ROW()-2,Summary!$B$8)+1</f>
        <v>128</v>
      </c>
      <c r="C129" s="24" t="str">
        <f aca="false">INDEX('Running Order'!$C$2:$C$225,B129)</f>
        <v>DANO N HILDA 2</v>
      </c>
      <c r="D129" s="24" t="str">
        <f aca="false">INDEX('Running Order'!$D$2:$D$225,B129)</f>
        <v>Commercial</v>
      </c>
      <c r="E129" s="5" t="n">
        <f aca="false">IF(INDEX('Running Order'!$B$2:$B$225,B129)="Y",INDEX('Running Order'!$E$2:$E$225,B129),0)</f>
        <v>0.00149305555555556</v>
      </c>
      <c r="F129" s="6" t="n">
        <f aca="false">(A129-1)*Summary!$B$5+INDEX('Running Order'!$F$2:$F$225,B129)</f>
        <v>46296.0886689815</v>
      </c>
      <c r="G129" s="6" t="n">
        <f aca="false">F129+E129</f>
        <v>46296.090162037</v>
      </c>
      <c r="H129" s="24" t="str">
        <f aca="false">IF(INDEX('Running Order'!$B$2:$B$225,B129)="Y","on air","dropped")</f>
        <v>on air</v>
      </c>
      <c r="I129" s="24" t="str">
        <f aca="false">IF(F129&lt;Summary!$B$4+1,"yes","")</f>
        <v>yes</v>
      </c>
    </row>
    <row r="130" customFormat="false" ht="15" hidden="false" customHeight="false" outlineLevel="0" collapsed="false">
      <c r="A130" s="24" t="n">
        <f aca="false">INT((ROW()-2)/Summary!$B$8)+1</f>
        <v>1</v>
      </c>
      <c r="B130" s="24" t="n">
        <f aca="false">MOD(ROW()-2,Summary!$B$8)+1</f>
        <v>129</v>
      </c>
      <c r="C130" s="24" t="str">
        <f aca="false">INDEX('Running Order'!$C$2:$C$225,B130)</f>
        <v>Look What Naa Made With NutriDay Episode 2</v>
      </c>
      <c r="D130" s="24" t="str">
        <f aca="false">INDEX('Running Order'!$D$2:$D$225,B130)</f>
        <v>Short</v>
      </c>
      <c r="E130" s="5" t="n">
        <f aca="false">IF(INDEX('Running Order'!$B$2:$B$225,B130)="Y",INDEX('Running Order'!$E$2:$E$225,B130),0)</f>
        <v>0.00131944444444444</v>
      </c>
      <c r="F130" s="6" t="n">
        <f aca="false">(A130-1)*Summary!$B$5+INDEX('Running Order'!$F$2:$F$225,B130)</f>
        <v>46296.090162037</v>
      </c>
      <c r="G130" s="6" t="n">
        <f aca="false">F130+E130</f>
        <v>46296.0914814815</v>
      </c>
      <c r="H130" s="24" t="str">
        <f aca="false">IF(INDEX('Running Order'!$B$2:$B$225,B130)="Y","on air","dropped")</f>
        <v>on air</v>
      </c>
      <c r="I130" s="24" t="str">
        <f aca="false">IF(F130&lt;Summary!$B$4+1,"yes","")</f>
        <v>yes</v>
      </c>
    </row>
    <row r="131" customFormat="false" ht="15" hidden="false" customHeight="false" outlineLevel="0" collapsed="false">
      <c r="A131" s="24" t="n">
        <f aca="false">INT((ROW()-2)/Summary!$B$8)+1</f>
        <v>1</v>
      </c>
      <c r="B131" s="24" t="n">
        <f aca="false">MOD(ROW()-2,Summary!$B$8)+1</f>
        <v>130</v>
      </c>
      <c r="C131" s="24" t="str">
        <f aca="false">INDEX('Running Order'!$C$2:$C$225,B131)</f>
        <v>Abenas Special Ebubuebunu Soup</v>
      </c>
      <c r="D131" s="24" t="str">
        <f aca="false">INDEX('Running Order'!$D$2:$D$225,B131)</f>
        <v>Programme</v>
      </c>
      <c r="E131" s="5" t="n">
        <f aca="false">IF(INDEX('Running Order'!$B$2:$B$225,B131)="Y",INDEX('Running Order'!$E$2:$E$225,B131),0)</f>
        <v>0.00454861111111111</v>
      </c>
      <c r="F131" s="6" t="n">
        <f aca="false">(A131-1)*Summary!$B$5+INDEX('Running Order'!$F$2:$F$225,B131)</f>
        <v>46296.0914814815</v>
      </c>
      <c r="G131" s="6" t="n">
        <f aca="false">F131+E131</f>
        <v>46296.0960300926</v>
      </c>
      <c r="H131" s="24" t="str">
        <f aca="false">IF(INDEX('Running Order'!$B$2:$B$225,B131)="Y","on air","dropped")</f>
        <v>on air</v>
      </c>
      <c r="I131" s="24" t="str">
        <f aca="false">IF(F131&lt;Summary!$B$4+1,"yes","")</f>
        <v>yes</v>
      </c>
    </row>
    <row r="132" customFormat="false" ht="15" hidden="false" customHeight="false" outlineLevel="0" collapsed="false">
      <c r="A132" s="24" t="n">
        <f aca="false">INT((ROW()-2)/Summary!$B$8)+1</f>
        <v>1</v>
      </c>
      <c r="B132" s="24" t="n">
        <f aca="false">MOD(ROW()-2,Summary!$B$8)+1</f>
        <v>131</v>
      </c>
      <c r="C132" s="24" t="str">
        <f aca="false">INDEX('Running Order'!$C$2:$C$225,B132)</f>
        <v>CHANNEL MONTAGE</v>
      </c>
      <c r="D132" s="24" t="str">
        <f aca="false">INDEX('Running Order'!$D$2:$D$225,B132)</f>
        <v>Montage</v>
      </c>
      <c r="E132" s="5" t="n">
        <f aca="false">IF(INDEX('Running Order'!$B$2:$B$225,B132)="Y",INDEX('Running Order'!$E$2:$E$225,B132),0)</f>
        <v>0.000115740740740741</v>
      </c>
      <c r="F132" s="6" t="n">
        <f aca="false">(A132-1)*Summary!$B$5+INDEX('Running Order'!$F$2:$F$225,B132)</f>
        <v>46296.0960300926</v>
      </c>
      <c r="G132" s="6" t="n">
        <f aca="false">F132+E132</f>
        <v>46296.0961458333</v>
      </c>
      <c r="H132" s="24" t="str">
        <f aca="false">IF(INDEX('Running Order'!$B$2:$B$225,B132)="Y","on air","dropped")</f>
        <v>on air</v>
      </c>
      <c r="I132" s="24" t="str">
        <f aca="false">IF(F132&lt;Summary!$B$4+1,"yes","")</f>
        <v>yes</v>
      </c>
    </row>
    <row r="133" customFormat="false" ht="15" hidden="false" customHeight="false" outlineLevel="0" collapsed="false">
      <c r="A133" s="24" t="n">
        <f aca="false">INT((ROW()-2)/Summary!$B$8)+1</f>
        <v>1</v>
      </c>
      <c r="B133" s="24" t="n">
        <f aca="false">MOD(ROW()-2,Summary!$B$8)+1</f>
        <v>132</v>
      </c>
      <c r="C133" s="24" t="str">
        <f aca="false">INDEX('Running Order'!$C$2:$C$225,B133)</f>
        <v>Knorr Good Jollof Smokey Jollof Rice</v>
      </c>
      <c r="D133" s="24" t="str">
        <f aca="false">INDEX('Running Order'!$D$2:$D$225,B133)</f>
        <v>Short</v>
      </c>
      <c r="E133" s="5" t="n">
        <f aca="false">IF(INDEX('Running Order'!$B$2:$B$225,B133)="Y",INDEX('Running Order'!$E$2:$E$225,B133),0)</f>
        <v>0.000659722222222222</v>
      </c>
      <c r="F133" s="6" t="n">
        <f aca="false">(A133-1)*Summary!$B$5+INDEX('Running Order'!$F$2:$F$225,B133)</f>
        <v>46296.0961458333</v>
      </c>
      <c r="G133" s="6" t="n">
        <f aca="false">F133+E133</f>
        <v>46296.0968055556</v>
      </c>
      <c r="H133" s="24" t="str">
        <f aca="false">IF(INDEX('Running Order'!$B$2:$B$225,B133)="Y","on air","dropped")</f>
        <v>on air</v>
      </c>
      <c r="I133" s="24" t="str">
        <f aca="false">IF(F133&lt;Summary!$B$4+1,"yes","")</f>
        <v>yes</v>
      </c>
    </row>
    <row r="134" customFormat="false" ht="15" hidden="false" customHeight="false" outlineLevel="0" collapsed="false">
      <c r="A134" s="24" t="n">
        <f aca="false">INT((ROW()-2)/Summary!$B$8)+1</f>
        <v>1</v>
      </c>
      <c r="B134" s="24" t="n">
        <f aca="false">MOD(ROW()-2,Summary!$B$8)+1</f>
        <v>133</v>
      </c>
      <c r="C134" s="24" t="str">
        <f aca="false">INDEX('Running Order'!$C$2:$C$225,B134)</f>
        <v>GTCO F&amp;D TV8</v>
      </c>
      <c r="D134" s="24" t="str">
        <f aca="false">INDEX('Running Order'!$D$2:$D$225,B134)</f>
        <v>Short</v>
      </c>
      <c r="E134" s="5" t="n">
        <f aca="false">IF(INDEX('Running Order'!$B$2:$B$225,B134)="Y",INDEX('Running Order'!$E$2:$E$225,B134),0)</f>
        <v>0.000590277777777778</v>
      </c>
      <c r="F134" s="6" t="n">
        <f aca="false">(A134-1)*Summary!$B$5+INDEX('Running Order'!$F$2:$F$225,B134)</f>
        <v>46296.0968055556</v>
      </c>
      <c r="G134" s="6" t="n">
        <f aca="false">F134+E134</f>
        <v>46296.0973958333</v>
      </c>
      <c r="H134" s="24" t="str">
        <f aca="false">IF(INDEX('Running Order'!$B$2:$B$225,B134)="Y","on air","dropped")</f>
        <v>on air</v>
      </c>
      <c r="I134" s="24" t="str">
        <f aca="false">IF(F134&lt;Summary!$B$4+1,"yes","")</f>
        <v>yes</v>
      </c>
    </row>
    <row r="135" customFormat="false" ht="15" hidden="false" customHeight="false" outlineLevel="0" collapsed="false">
      <c r="A135" s="24" t="n">
        <f aca="false">INT((ROW()-2)/Summary!$B$8)+1</f>
        <v>1</v>
      </c>
      <c r="B135" s="24" t="n">
        <f aca="false">MOD(ROW()-2,Summary!$B$8)+1</f>
        <v>134</v>
      </c>
      <c r="C135" s="24" t="str">
        <f aca="false">INDEX('Running Order'!$C$2:$C$225,B135)</f>
        <v>Be a Fressia Millionaire</v>
      </c>
      <c r="D135" s="24" t="str">
        <f aca="false">INDEX('Running Order'!$D$2:$D$225,B135)</f>
        <v>Commercial</v>
      </c>
      <c r="E135" s="5" t="n">
        <f aca="false">IF(INDEX('Running Order'!$B$2:$B$225,B135)="Y",INDEX('Running Order'!$E$2:$E$225,B135),0)</f>
        <v>0.000439814814814815</v>
      </c>
      <c r="F135" s="6" t="n">
        <f aca="false">(A135-1)*Summary!$B$5+INDEX('Running Order'!$F$2:$F$225,B135)</f>
        <v>46296.0973958333</v>
      </c>
      <c r="G135" s="6" t="n">
        <f aca="false">F135+E135</f>
        <v>46296.0978356482</v>
      </c>
      <c r="H135" s="24" t="str">
        <f aca="false">IF(INDEX('Running Order'!$B$2:$B$225,B135)="Y","on air","dropped")</f>
        <v>on air</v>
      </c>
      <c r="I135" s="24" t="str">
        <f aca="false">IF(F135&lt;Summary!$B$4+1,"yes","")</f>
        <v>yes</v>
      </c>
    </row>
    <row r="136" customFormat="false" ht="15" hidden="false" customHeight="false" outlineLevel="0" collapsed="false">
      <c r="A136" s="24" t="n">
        <f aca="false">INT((ROW()-2)/Summary!$B$8)+1</f>
        <v>1</v>
      </c>
      <c r="B136" s="24" t="n">
        <f aca="false">MOD(ROW()-2,Summary!$B$8)+1</f>
        <v>135</v>
      </c>
      <c r="C136" s="24" t="str">
        <f aca="false">INDEX('Running Order'!$C$2:$C$225,B136)</f>
        <v>TATTASE TV STING</v>
      </c>
      <c r="D136" s="24" t="str">
        <f aca="false">INDEX('Running Order'!$D$2:$D$225,B136)</f>
        <v>Sting</v>
      </c>
      <c r="E136" s="5" t="n">
        <f aca="false">IF(INDEX('Running Order'!$B$2:$B$225,B136)="Y",INDEX('Running Order'!$E$2:$E$225,B136),0)</f>
        <v>6.94444444444444E-005</v>
      </c>
      <c r="F136" s="6" t="n">
        <f aca="false">(A136-1)*Summary!$B$5+INDEX('Running Order'!$F$2:$F$225,B136)</f>
        <v>46296.0978356482</v>
      </c>
      <c r="G136" s="6" t="n">
        <f aca="false">F136+E136</f>
        <v>46296.0979050926</v>
      </c>
      <c r="H136" s="24" t="str">
        <f aca="false">IF(INDEX('Running Order'!$B$2:$B$225,B136)="Y","on air","dropped")</f>
        <v>on air</v>
      </c>
      <c r="I136" s="24" t="str">
        <f aca="false">IF(F136&lt;Summary!$B$4+1,"yes","")</f>
        <v>yes</v>
      </c>
    </row>
    <row r="137" customFormat="false" ht="15" hidden="false" customHeight="false" outlineLevel="0" collapsed="false">
      <c r="A137" s="24" t="n">
        <f aca="false">INT((ROW()-2)/Summary!$B$8)+1</f>
        <v>1</v>
      </c>
      <c r="B137" s="24" t="n">
        <f aca="false">MOD(ROW()-2,Summary!$B$8)+1</f>
        <v>136</v>
      </c>
      <c r="C137" s="24" t="str">
        <f aca="false">INDEX('Running Order'!$C$2:$C$225,B137)</f>
        <v>HEN_FULL VIDEO FOR TV FINAL</v>
      </c>
      <c r="D137" s="24" t="str">
        <f aca="false">INDEX('Running Order'!$D$2:$D$225,B137)</f>
        <v>Programme</v>
      </c>
      <c r="E137" s="5" t="n">
        <f aca="false">IF(INDEX('Running Order'!$B$2:$B$225,B137)="Y",INDEX('Running Order'!$E$2:$E$225,B137),0)</f>
        <v>0.0197569444444445</v>
      </c>
      <c r="F137" s="6" t="n">
        <f aca="false">(A137-1)*Summary!$B$5+INDEX('Running Order'!$F$2:$F$225,B137)</f>
        <v>46296.0979050926</v>
      </c>
      <c r="G137" s="6" t="n">
        <f aca="false">F137+E137</f>
        <v>46296.117662037</v>
      </c>
      <c r="H137" s="24" t="str">
        <f aca="false">IF(INDEX('Running Order'!$B$2:$B$225,B137)="Y","on air","dropped")</f>
        <v>on air</v>
      </c>
      <c r="I137" s="24" t="str">
        <f aca="false">IF(F137&lt;Summary!$B$4+1,"yes","")</f>
        <v>yes</v>
      </c>
    </row>
    <row r="138" customFormat="false" ht="15" hidden="false" customHeight="false" outlineLevel="0" collapsed="false">
      <c r="A138" s="24" t="n">
        <f aca="false">INT((ROW()-2)/Summary!$B$8)+1</f>
        <v>1</v>
      </c>
      <c r="B138" s="24" t="n">
        <f aca="false">MOD(ROW()-2,Summary!$B$8)+1</f>
        <v>137</v>
      </c>
      <c r="C138" s="24" t="str">
        <f aca="false">INDEX('Running Order'!$C$2:$C$225,B138)</f>
        <v>TATTASE TV STING</v>
      </c>
      <c r="D138" s="24" t="str">
        <f aca="false">INDEX('Running Order'!$D$2:$D$225,B138)</f>
        <v>Sting</v>
      </c>
      <c r="E138" s="5" t="n">
        <f aca="false">IF(INDEX('Running Order'!$B$2:$B$225,B138)="Y",INDEX('Running Order'!$E$2:$E$225,B138),0)</f>
        <v>6.94444444444444E-005</v>
      </c>
      <c r="F138" s="6" t="n">
        <f aca="false">(A138-1)*Summary!$B$5+INDEX('Running Order'!$F$2:$F$225,B138)</f>
        <v>46296.117662037</v>
      </c>
      <c r="G138" s="6" t="n">
        <f aca="false">F138+E138</f>
        <v>46296.1177314815</v>
      </c>
      <c r="H138" s="24" t="str">
        <f aca="false">IF(INDEX('Running Order'!$B$2:$B$225,B138)="Y","on air","dropped")</f>
        <v>on air</v>
      </c>
      <c r="I138" s="24" t="str">
        <f aca="false">IF(F138&lt;Summary!$B$4+1,"yes","")</f>
        <v>yes</v>
      </c>
    </row>
    <row r="139" customFormat="false" ht="15" hidden="false" customHeight="false" outlineLevel="0" collapsed="false">
      <c r="A139" s="24" t="n">
        <f aca="false">INT((ROW()-2)/Summary!$B$8)+1</f>
        <v>1</v>
      </c>
      <c r="B139" s="24" t="n">
        <f aca="false">MOD(ROW()-2,Summary!$B$8)+1</f>
        <v>138</v>
      </c>
      <c r="C139" s="24" t="str">
        <f aca="false">INDEX('Running Order'!$C$2:$C$225,B139)</f>
        <v>TECNO FOOD WITH TIWA SAVAGE real</v>
      </c>
      <c r="D139" s="24" t="str">
        <f aca="false">INDEX('Running Order'!$D$2:$D$225,B139)</f>
        <v>Commercial</v>
      </c>
      <c r="E139" s="5" t="n">
        <f aca="false">IF(INDEX('Running Order'!$B$2:$B$225,B139)="Y",INDEX('Running Order'!$E$2:$E$225,B139),0)</f>
        <v>0.000335648148148148</v>
      </c>
      <c r="F139" s="6" t="n">
        <f aca="false">(A139-1)*Summary!$B$5+INDEX('Running Order'!$F$2:$F$225,B139)</f>
        <v>46296.1177314815</v>
      </c>
      <c r="G139" s="6" t="n">
        <f aca="false">F139+E139</f>
        <v>46296.1180671296</v>
      </c>
      <c r="H139" s="24" t="str">
        <f aca="false">IF(INDEX('Running Order'!$B$2:$B$225,B139)="Y","on air","dropped")</f>
        <v>on air</v>
      </c>
      <c r="I139" s="24" t="str">
        <f aca="false">IF(F139&lt;Summary!$B$4+1,"yes","")</f>
        <v>yes</v>
      </c>
    </row>
    <row r="140" customFormat="false" ht="15" hidden="false" customHeight="false" outlineLevel="0" collapsed="false">
      <c r="A140" s="24" t="n">
        <f aca="false">INT((ROW()-2)/Summary!$B$8)+1</f>
        <v>1</v>
      </c>
      <c r="B140" s="24" t="n">
        <f aca="false">MOD(ROW()-2,Summary!$B$8)+1</f>
        <v>139</v>
      </c>
      <c r="C140" s="24" t="str">
        <f aca="false">INDEX('Running Order'!$C$2:$C$225,B140)</f>
        <v>RITE FOODS SAUSAGE ROLLS for tv</v>
      </c>
      <c r="D140" s="24" t="str">
        <f aca="false">INDEX('Running Order'!$D$2:$D$225,B140)</f>
        <v>Commercial</v>
      </c>
      <c r="E140" s="5" t="n">
        <f aca="false">IF(INDEX('Running Order'!$B$2:$B$225,B140)="Y",INDEX('Running Order'!$E$2:$E$225,B140),0)</f>
        <v>0.000694444444444445</v>
      </c>
      <c r="F140" s="6" t="n">
        <f aca="false">(A140-1)*Summary!$B$5+INDEX('Running Order'!$F$2:$F$225,B140)</f>
        <v>46296.1180671296</v>
      </c>
      <c r="G140" s="6" t="n">
        <f aca="false">F140+E140</f>
        <v>46296.1187615741</v>
      </c>
      <c r="H140" s="24" t="str">
        <f aca="false">IF(INDEX('Running Order'!$B$2:$B$225,B140)="Y","on air","dropped")</f>
        <v>on air</v>
      </c>
      <c r="I140" s="24" t="str">
        <f aca="false">IF(F140&lt;Summary!$B$4+1,"yes","")</f>
        <v>yes</v>
      </c>
    </row>
    <row r="141" customFormat="false" ht="15" hidden="false" customHeight="false" outlineLevel="0" collapsed="false">
      <c r="A141" s="24" t="n">
        <f aca="false">INT((ROW()-2)/Summary!$B$8)+1</f>
        <v>1</v>
      </c>
      <c r="B141" s="24" t="n">
        <f aca="false">MOD(ROW()-2,Summary!$B$8)+1</f>
        <v>140</v>
      </c>
      <c r="C141" s="24" t="str">
        <f aca="false">INDEX('Running Order'!$C$2:$C$225,B141)</f>
        <v>CHANNEL MONTAGE</v>
      </c>
      <c r="D141" s="24" t="str">
        <f aca="false">INDEX('Running Order'!$D$2:$D$225,B141)</f>
        <v>Montage</v>
      </c>
      <c r="E141" s="5" t="n">
        <f aca="false">IF(INDEX('Running Order'!$B$2:$B$225,B141)="Y",INDEX('Running Order'!$E$2:$E$225,B141),0)</f>
        <v>6.94444444444444E-005</v>
      </c>
      <c r="F141" s="6" t="n">
        <f aca="false">(A141-1)*Summary!$B$5+INDEX('Running Order'!$F$2:$F$225,B141)</f>
        <v>46296.1187615741</v>
      </c>
      <c r="G141" s="6" t="n">
        <f aca="false">F141+E141</f>
        <v>46296.1188310185</v>
      </c>
      <c r="H141" s="24" t="str">
        <f aca="false">IF(INDEX('Running Order'!$B$2:$B$225,B141)="Y","on air","dropped")</f>
        <v>on air</v>
      </c>
      <c r="I141" s="24" t="str">
        <f aca="false">IF(F141&lt;Summary!$B$4+1,"yes","")</f>
        <v>yes</v>
      </c>
    </row>
    <row r="142" customFormat="false" ht="15" hidden="false" customHeight="false" outlineLevel="0" collapsed="false">
      <c r="A142" s="24" t="n">
        <f aca="false">INT((ROW()-2)/Summary!$B$8)+1</f>
        <v>1</v>
      </c>
      <c r="B142" s="24" t="n">
        <f aca="false">MOD(ROW()-2,Summary!$B$8)+1</f>
        <v>141</v>
      </c>
      <c r="C142" s="24" t="str">
        <f aca="false">INDEX('Running Order'!$C$2:$C$225,B142)</f>
        <v>PROPAK FOR TV</v>
      </c>
      <c r="D142" s="24" t="str">
        <f aca="false">INDEX('Running Order'!$D$2:$D$225,B142)</f>
        <v>Programme</v>
      </c>
      <c r="E142" s="5" t="n">
        <f aca="false">IF(INDEX('Running Order'!$B$2:$B$225,B142)="Y",INDEX('Running Order'!$E$2:$E$225,B142),0)</f>
        <v>0.0228819444444444</v>
      </c>
      <c r="F142" s="6" t="n">
        <f aca="false">(A142-1)*Summary!$B$5+INDEX('Running Order'!$F$2:$F$225,B142)</f>
        <v>46296.1188310185</v>
      </c>
      <c r="G142" s="6" t="n">
        <f aca="false">F142+E142</f>
        <v>46296.141712963</v>
      </c>
      <c r="H142" s="24" t="str">
        <f aca="false">IF(INDEX('Running Order'!$B$2:$B$225,B142)="Y","on air","dropped")</f>
        <v>on air</v>
      </c>
      <c r="I142" s="24" t="str">
        <f aca="false">IF(F142&lt;Summary!$B$4+1,"yes","")</f>
        <v>yes</v>
      </c>
    </row>
    <row r="143" customFormat="false" ht="15" hidden="false" customHeight="false" outlineLevel="0" collapsed="false">
      <c r="A143" s="24" t="n">
        <f aca="false">INT((ROW()-2)/Summary!$B$8)+1</f>
        <v>1</v>
      </c>
      <c r="B143" s="24" t="n">
        <f aca="false">MOD(ROW()-2,Summary!$B$8)+1</f>
        <v>142</v>
      </c>
      <c r="C143" s="24" t="str">
        <f aca="false">INDEX('Running Order'!$C$2:$C$225,B143)</f>
        <v>TATTASE TV STING</v>
      </c>
      <c r="D143" s="24" t="str">
        <f aca="false">INDEX('Running Order'!$D$2:$D$225,B143)</f>
        <v>Sting</v>
      </c>
      <c r="E143" s="5" t="n">
        <f aca="false">IF(INDEX('Running Order'!$B$2:$B$225,B143)="Y",INDEX('Running Order'!$E$2:$E$225,B143),0)</f>
        <v>6.94444444444444E-005</v>
      </c>
      <c r="F143" s="6" t="n">
        <f aca="false">(A143-1)*Summary!$B$5+INDEX('Running Order'!$F$2:$F$225,B143)</f>
        <v>46296.141712963</v>
      </c>
      <c r="G143" s="6" t="n">
        <f aca="false">F143+E143</f>
        <v>46296.1417824074</v>
      </c>
      <c r="H143" s="24" t="str">
        <f aca="false">IF(INDEX('Running Order'!$B$2:$B$225,B143)="Y","on air","dropped")</f>
        <v>on air</v>
      </c>
      <c r="I143" s="24" t="str">
        <f aca="false">IF(F143&lt;Summary!$B$4+1,"yes","")</f>
        <v>yes</v>
      </c>
    </row>
    <row r="144" customFormat="false" ht="15" hidden="false" customHeight="false" outlineLevel="0" collapsed="false">
      <c r="A144" s="24" t="n">
        <f aca="false">INT((ROW()-2)/Summary!$B$8)+1</f>
        <v>1</v>
      </c>
      <c r="B144" s="24" t="n">
        <f aca="false">MOD(ROW()-2,Summary!$B$8)+1</f>
        <v>143</v>
      </c>
      <c r="C144" s="24" t="str">
        <f aca="false">INDEX('Running Order'!$C$2:$C$225,B144)</f>
        <v>Mamador WIMCA conference</v>
      </c>
      <c r="D144" s="24" t="str">
        <f aca="false">INDEX('Running Order'!$D$2:$D$225,B144)</f>
        <v>Short</v>
      </c>
      <c r="E144" s="5" t="n">
        <f aca="false">IF(INDEX('Running Order'!$B$2:$B$225,B144)="Y",INDEX('Running Order'!$E$2:$E$225,B144),0)</f>
        <v>0.000613425925925926</v>
      </c>
      <c r="F144" s="6" t="n">
        <f aca="false">(A144-1)*Summary!$B$5+INDEX('Running Order'!$F$2:$F$225,B144)</f>
        <v>46296.1417824074</v>
      </c>
      <c r="G144" s="6" t="n">
        <f aca="false">F144+E144</f>
        <v>46296.1423958333</v>
      </c>
      <c r="H144" s="24" t="str">
        <f aca="false">IF(INDEX('Running Order'!$B$2:$B$225,B144)="Y","on air","dropped")</f>
        <v>on air</v>
      </c>
      <c r="I144" s="24" t="str">
        <f aca="false">IF(F144&lt;Summary!$B$4+1,"yes","")</f>
        <v>yes</v>
      </c>
    </row>
    <row r="145" customFormat="false" ht="15" hidden="false" customHeight="false" outlineLevel="0" collapsed="false">
      <c r="A145" s="24" t="n">
        <f aca="false">INT((ROW()-2)/Summary!$B$8)+1</f>
        <v>1</v>
      </c>
      <c r="B145" s="24" t="n">
        <f aca="false">MOD(ROW()-2,Summary!$B$8)+1</f>
        <v>144</v>
      </c>
      <c r="C145" s="24" t="str">
        <f aca="false">INDEX('Running Order'!$C$2:$C$225,B145)</f>
        <v>MAGII O TA LENU SEASON 1 TRAILER</v>
      </c>
      <c r="D145" s="24" t="str">
        <f aca="false">INDEX('Running Order'!$D$2:$D$225,B145)</f>
        <v>Promo</v>
      </c>
      <c r="E145" s="5" t="n">
        <f aca="false">IF(INDEX('Running Order'!$B$2:$B$225,B145)="Y",INDEX('Running Order'!$E$2:$E$225,B145),0)</f>
        <v>0.000694444444444445</v>
      </c>
      <c r="F145" s="6" t="n">
        <f aca="false">(A145-1)*Summary!$B$5+INDEX('Running Order'!$F$2:$F$225,B145)</f>
        <v>46296.1423958333</v>
      </c>
      <c r="G145" s="6" t="n">
        <f aca="false">F145+E145</f>
        <v>46296.1430902778</v>
      </c>
      <c r="H145" s="24" t="str">
        <f aca="false">IF(INDEX('Running Order'!$B$2:$B$225,B145)="Y","on air","dropped")</f>
        <v>on air</v>
      </c>
      <c r="I145" s="24" t="str">
        <f aca="false">IF(F145&lt;Summary!$B$4+1,"yes","")</f>
        <v>yes</v>
      </c>
    </row>
    <row r="146" customFormat="false" ht="15" hidden="false" customHeight="false" outlineLevel="0" collapsed="false">
      <c r="A146" s="24" t="n">
        <f aca="false">INT((ROW()-2)/Summary!$B$8)+1</f>
        <v>1</v>
      </c>
      <c r="B146" s="24" t="n">
        <f aca="false">MOD(ROW()-2,Summary!$B$8)+1</f>
        <v>145</v>
      </c>
      <c r="C146" s="24" t="str">
        <f aca="false">INDEX('Running Order'!$C$2:$C$225,B146)</f>
        <v>PEPPERSOUP SPICE FILLER FOR TV</v>
      </c>
      <c r="D146" s="24" t="str">
        <f aca="false">INDEX('Running Order'!$D$2:$D$225,B146)</f>
        <v>Short</v>
      </c>
      <c r="E146" s="5" t="n">
        <f aca="false">IF(INDEX('Running Order'!$B$2:$B$225,B146)="Y",INDEX('Running Order'!$E$2:$E$225,B146),0)</f>
        <v>0.00087962962962963</v>
      </c>
      <c r="F146" s="6" t="n">
        <f aca="false">(A146-1)*Summary!$B$5+INDEX('Running Order'!$F$2:$F$225,B146)</f>
        <v>46296.1430902778</v>
      </c>
      <c r="G146" s="6" t="n">
        <f aca="false">F146+E146</f>
        <v>46296.1439699074</v>
      </c>
      <c r="H146" s="24" t="str">
        <f aca="false">IF(INDEX('Running Order'!$B$2:$B$225,B146)="Y","on air","dropped")</f>
        <v>on air</v>
      </c>
      <c r="I146" s="24" t="str">
        <f aca="false">IF(F146&lt;Summary!$B$4+1,"yes","")</f>
        <v>yes</v>
      </c>
    </row>
    <row r="147" customFormat="false" ht="15" hidden="false" customHeight="false" outlineLevel="0" collapsed="false">
      <c r="A147" s="24" t="n">
        <f aca="false">INT((ROW()-2)/Summary!$B$8)+1</f>
        <v>1</v>
      </c>
      <c r="B147" s="24" t="n">
        <f aca="false">MOD(ROW()-2,Summary!$B$8)+1</f>
        <v>146</v>
      </c>
      <c r="C147" s="24" t="str">
        <f aca="false">INDEX('Running Order'!$C$2:$C$225,B147)</f>
        <v>CHANNEL MONTAGE</v>
      </c>
      <c r="D147" s="24" t="str">
        <f aca="false">INDEX('Running Order'!$D$2:$D$225,B147)</f>
        <v>Montage</v>
      </c>
      <c r="E147" s="5" t="n">
        <f aca="false">IF(INDEX('Running Order'!$B$2:$B$225,B147)="Y",INDEX('Running Order'!$E$2:$E$225,B147),0)</f>
        <v>0.000115740740740741</v>
      </c>
      <c r="F147" s="6" t="n">
        <f aca="false">(A147-1)*Summary!$B$5+INDEX('Running Order'!$F$2:$F$225,B147)</f>
        <v>46296.1439699074</v>
      </c>
      <c r="G147" s="6" t="n">
        <f aca="false">F147+E147</f>
        <v>46296.1440856482</v>
      </c>
      <c r="H147" s="24" t="str">
        <f aca="false">IF(INDEX('Running Order'!$B$2:$B$225,B147)="Y","on air","dropped")</f>
        <v>on air</v>
      </c>
      <c r="I147" s="24" t="str">
        <f aca="false">IF(F147&lt;Summary!$B$4+1,"yes","")</f>
        <v>yes</v>
      </c>
    </row>
    <row r="148" customFormat="false" ht="15" hidden="false" customHeight="false" outlineLevel="0" collapsed="false">
      <c r="A148" s="24" t="n">
        <f aca="false">INT((ROW()-2)/Summary!$B$8)+1</f>
        <v>1</v>
      </c>
      <c r="B148" s="24" t="n">
        <f aca="false">MOD(ROW()-2,Summary!$B$8)+1</f>
        <v>147</v>
      </c>
      <c r="C148" s="24" t="str">
        <f aca="false">INDEX('Running Order'!$C$2:$C$225,B148)</f>
        <v>AGROFOOD DAY 1</v>
      </c>
      <c r="D148" s="24" t="str">
        <f aca="false">INDEX('Running Order'!$D$2:$D$225,B148)</f>
        <v>Programme</v>
      </c>
      <c r="E148" s="5" t="n">
        <f aca="false">IF(INDEX('Running Order'!$B$2:$B$225,B148)="Y",INDEX('Running Order'!$E$2:$E$225,B148),0)</f>
        <v>0.0223958333333333</v>
      </c>
      <c r="F148" s="6" t="n">
        <f aca="false">(A148-1)*Summary!$B$5+INDEX('Running Order'!$F$2:$F$225,B148)</f>
        <v>46296.1440856482</v>
      </c>
      <c r="G148" s="6" t="n">
        <f aca="false">F148+E148</f>
        <v>46296.1664814815</v>
      </c>
      <c r="H148" s="24" t="str">
        <f aca="false">IF(INDEX('Running Order'!$B$2:$B$225,B148)="Y","on air","dropped")</f>
        <v>on air</v>
      </c>
      <c r="I148" s="24" t="str">
        <f aca="false">IF(F148&lt;Summary!$B$4+1,"yes","")</f>
        <v>yes</v>
      </c>
    </row>
    <row r="149" customFormat="false" ht="15" hidden="false" customHeight="false" outlineLevel="0" collapsed="false">
      <c r="A149" s="24" t="n">
        <f aca="false">INT((ROW()-2)/Summary!$B$8)+1</f>
        <v>1</v>
      </c>
      <c r="B149" s="24" t="n">
        <f aca="false">MOD(ROW()-2,Summary!$B$8)+1</f>
        <v>148</v>
      </c>
      <c r="C149" s="24" t="str">
        <f aca="false">INDEX('Running Order'!$C$2:$C$225,B149)</f>
        <v>TATTASE TV STING</v>
      </c>
      <c r="D149" s="24" t="str">
        <f aca="false">INDEX('Running Order'!$D$2:$D$225,B149)</f>
        <v>Sting</v>
      </c>
      <c r="E149" s="5" t="n">
        <f aca="false">IF(INDEX('Running Order'!$B$2:$B$225,B149)="Y",INDEX('Running Order'!$E$2:$E$225,B149),0)</f>
        <v>6.94444444444444E-005</v>
      </c>
      <c r="F149" s="6" t="n">
        <f aca="false">(A149-1)*Summary!$B$5+INDEX('Running Order'!$F$2:$F$225,B149)</f>
        <v>46296.1664814815</v>
      </c>
      <c r="G149" s="6" t="n">
        <f aca="false">F149+E149</f>
        <v>46296.1665509259</v>
      </c>
      <c r="H149" s="24" t="str">
        <f aca="false">IF(INDEX('Running Order'!$B$2:$B$225,B149)="Y","on air","dropped")</f>
        <v>on air</v>
      </c>
      <c r="I149" s="24" t="str">
        <f aca="false">IF(F149&lt;Summary!$B$4+1,"yes","")</f>
        <v>yes</v>
      </c>
    </row>
    <row r="150" customFormat="false" ht="15" hidden="false" customHeight="false" outlineLevel="0" collapsed="false">
      <c r="A150" s="24" t="n">
        <f aca="false">INT((ROW()-2)/Summary!$B$8)+1</f>
        <v>1</v>
      </c>
      <c r="B150" s="24" t="n">
        <f aca="false">MOD(ROW()-2,Summary!$B$8)+1</f>
        <v>149</v>
      </c>
      <c r="C150" s="24" t="str">
        <f aca="false">INDEX('Running Order'!$C$2:$C$225,B150)</f>
        <v>GOLDEN TERRA OIL</v>
      </c>
      <c r="D150" s="24" t="str">
        <f aca="false">INDEX('Running Order'!$D$2:$D$225,B150)</f>
        <v>Commercial</v>
      </c>
      <c r="E150" s="5" t="n">
        <f aca="false">IF(INDEX('Running Order'!$B$2:$B$225,B150)="Y",INDEX('Running Order'!$E$2:$E$225,B150),0)</f>
        <v>0.000694444444444445</v>
      </c>
      <c r="F150" s="6" t="n">
        <f aca="false">(A150-1)*Summary!$B$5+INDEX('Running Order'!$F$2:$F$225,B150)</f>
        <v>46296.1665509259</v>
      </c>
      <c r="G150" s="6" t="n">
        <f aca="false">F150+E150</f>
        <v>46296.1672453704</v>
      </c>
      <c r="H150" s="24" t="str">
        <f aca="false">IF(INDEX('Running Order'!$B$2:$B$225,B150)="Y","on air","dropped")</f>
        <v>on air</v>
      </c>
      <c r="I150" s="24" t="str">
        <f aca="false">IF(F150&lt;Summary!$B$4+1,"yes","")</f>
        <v>yes</v>
      </c>
    </row>
    <row r="151" customFormat="false" ht="15" hidden="false" customHeight="false" outlineLevel="0" collapsed="false">
      <c r="A151" s="24" t="n">
        <f aca="false">INT((ROW()-2)/Summary!$B$8)+1</f>
        <v>1</v>
      </c>
      <c r="B151" s="24" t="n">
        <f aca="false">MOD(ROW()-2,Summary!$B$8)+1</f>
        <v>150</v>
      </c>
      <c r="C151" s="24" t="str">
        <f aca="false">INDEX('Running Order'!$C$2:$C$225,B151)</f>
        <v>kivo-video</v>
      </c>
      <c r="D151" s="24" t="str">
        <f aca="false">INDEX('Running Order'!$D$2:$D$225,B151)</f>
        <v>Commercial</v>
      </c>
      <c r="E151" s="5" t="n">
        <f aca="false">IF(INDEX('Running Order'!$B$2:$B$225,B151)="Y",INDEX('Running Order'!$E$2:$E$225,B151),0)</f>
        <v>0.000520833333333333</v>
      </c>
      <c r="F151" s="6" t="n">
        <f aca="false">(A151-1)*Summary!$B$5+INDEX('Running Order'!$F$2:$F$225,B151)</f>
        <v>46296.1672453704</v>
      </c>
      <c r="G151" s="6" t="n">
        <f aca="false">F151+E151</f>
        <v>46296.1677662037</v>
      </c>
      <c r="H151" s="24" t="str">
        <f aca="false">IF(INDEX('Running Order'!$B$2:$B$225,B151)="Y","on air","dropped")</f>
        <v>on air</v>
      </c>
      <c r="I151" s="24" t="str">
        <f aca="false">IF(F151&lt;Summary!$B$4+1,"yes","")</f>
        <v>yes</v>
      </c>
    </row>
    <row r="152" customFormat="false" ht="15" hidden="false" customHeight="false" outlineLevel="0" collapsed="false">
      <c r="A152" s="24" t="n">
        <f aca="false">INT((ROW()-2)/Summary!$B$8)+1</f>
        <v>1</v>
      </c>
      <c r="B152" s="24" t="n">
        <f aca="false">MOD(ROW()-2,Summary!$B$8)+1</f>
        <v>151</v>
      </c>
      <c r="C152" s="24" t="str">
        <f aca="false">INDEX('Running Order'!$C$2:$C$225,B152)</f>
        <v>TATTASE TV STING</v>
      </c>
      <c r="D152" s="24" t="str">
        <f aca="false">INDEX('Running Order'!$D$2:$D$225,B152)</f>
        <v>Sting</v>
      </c>
      <c r="E152" s="5" t="n">
        <f aca="false">IF(INDEX('Running Order'!$B$2:$B$225,B152)="Y",INDEX('Running Order'!$E$2:$E$225,B152),0)</f>
        <v>6.94444444444444E-005</v>
      </c>
      <c r="F152" s="6" t="n">
        <f aca="false">(A152-1)*Summary!$B$5+INDEX('Running Order'!$F$2:$F$225,B152)</f>
        <v>46296.1677662037</v>
      </c>
      <c r="G152" s="6" t="n">
        <f aca="false">F152+E152</f>
        <v>46296.1678356482</v>
      </c>
      <c r="H152" s="24" t="str">
        <f aca="false">IF(INDEX('Running Order'!$B$2:$B$225,B152)="Y","on air","dropped")</f>
        <v>on air</v>
      </c>
      <c r="I152" s="24" t="str">
        <f aca="false">IF(F152&lt;Summary!$B$4+1,"yes","")</f>
        <v>yes</v>
      </c>
    </row>
    <row r="153" customFormat="false" ht="15" hidden="false" customHeight="false" outlineLevel="0" collapsed="false">
      <c r="A153" s="24" t="n">
        <f aca="false">INT((ROW()-2)/Summary!$B$8)+1</f>
        <v>1</v>
      </c>
      <c r="B153" s="24" t="n">
        <f aca="false">MOD(ROW()-2,Summary!$B$8)+1</f>
        <v>152</v>
      </c>
      <c r="C153" s="24" t="str">
        <f aca="false">INDEX('Running Order'!$C$2:$C$225,B153)</f>
        <v>ONGA GHANA COOKS SEASON 1 EPISODE 1</v>
      </c>
      <c r="D153" s="24" t="str">
        <f aca="false">INDEX('Running Order'!$D$2:$D$225,B153)</f>
        <v>Programme</v>
      </c>
      <c r="E153" s="5" t="n">
        <f aca="false">IF(INDEX('Running Order'!$B$2:$B$225,B153)="Y",INDEX('Running Order'!$E$2:$E$225,B153),0)</f>
        <v>0.0208101851851852</v>
      </c>
      <c r="F153" s="6" t="n">
        <f aca="false">(A153-1)*Summary!$B$5+INDEX('Running Order'!$F$2:$F$225,B153)</f>
        <v>46296.1678356482</v>
      </c>
      <c r="G153" s="6" t="n">
        <f aca="false">F153+E153</f>
        <v>46296.1886458333</v>
      </c>
      <c r="H153" s="24" t="str">
        <f aca="false">IF(INDEX('Running Order'!$B$2:$B$225,B153)="Y","on air","dropped")</f>
        <v>on air</v>
      </c>
      <c r="I153" s="24" t="str">
        <f aca="false">IF(F153&lt;Summary!$B$4+1,"yes","")</f>
        <v>yes</v>
      </c>
    </row>
    <row r="154" customFormat="false" ht="15" hidden="false" customHeight="false" outlineLevel="0" collapsed="false">
      <c r="A154" s="24" t="n">
        <f aca="false">INT((ROW()-2)/Summary!$B$8)+1</f>
        <v>1</v>
      </c>
      <c r="B154" s="24" t="n">
        <f aca="false">MOD(ROW()-2,Summary!$B$8)+1</f>
        <v>153</v>
      </c>
      <c r="C154" s="24" t="str">
        <f aca="false">INDEX('Running Order'!$C$2:$C$225,B154)</f>
        <v>CHANNEL MONTAGE</v>
      </c>
      <c r="D154" s="24" t="str">
        <f aca="false">INDEX('Running Order'!$D$2:$D$225,B154)</f>
        <v>Montage</v>
      </c>
      <c r="E154" s="5" t="n">
        <f aca="false">IF(INDEX('Running Order'!$B$2:$B$225,B154)="Y",INDEX('Running Order'!$E$2:$E$225,B154),0)</f>
        <v>0.000115740740740741</v>
      </c>
      <c r="F154" s="6" t="n">
        <f aca="false">(A154-1)*Summary!$B$5+INDEX('Running Order'!$F$2:$F$225,B154)</f>
        <v>46296.1886458333</v>
      </c>
      <c r="G154" s="6" t="n">
        <f aca="false">F154+E154</f>
        <v>46296.1887615741</v>
      </c>
      <c r="H154" s="24" t="str">
        <f aca="false">IF(INDEX('Running Order'!$B$2:$B$225,B154)="Y","on air","dropped")</f>
        <v>on air</v>
      </c>
      <c r="I154" s="24" t="str">
        <f aca="false">IF(F154&lt;Summary!$B$4+1,"yes","")</f>
        <v>yes</v>
      </c>
    </row>
    <row r="155" customFormat="false" ht="15" hidden="false" customHeight="false" outlineLevel="0" collapsed="false">
      <c r="A155" s="24" t="n">
        <f aca="false">INT((ROW()-2)/Summary!$B$8)+1</f>
        <v>1</v>
      </c>
      <c r="B155" s="24" t="n">
        <f aca="false">MOD(ROW()-2,Summary!$B$8)+1</f>
        <v>154</v>
      </c>
      <c r="C155" s="24" t="str">
        <f aca="false">INDEX('Running Order'!$C$2:$C$225,B155)</f>
        <v>OSETIGO EP1</v>
      </c>
      <c r="D155" s="24" t="str">
        <f aca="false">INDEX('Running Order'!$D$2:$D$225,B155)</f>
        <v>Programme</v>
      </c>
      <c r="E155" s="5" t="n">
        <f aca="false">IF(INDEX('Running Order'!$B$2:$B$225,B155)="Y",INDEX('Running Order'!$E$2:$E$225,B155),0)</f>
        <v>0.0192013888888889</v>
      </c>
      <c r="F155" s="6" t="n">
        <f aca="false">(A155-1)*Summary!$B$5+INDEX('Running Order'!$F$2:$F$225,B155)</f>
        <v>46296.1887615741</v>
      </c>
      <c r="G155" s="6" t="n">
        <f aca="false">F155+E155</f>
        <v>46296.207962963</v>
      </c>
      <c r="H155" s="24" t="str">
        <f aca="false">IF(INDEX('Running Order'!$B$2:$B$225,B155)="Y","on air","dropped")</f>
        <v>on air</v>
      </c>
      <c r="I155" s="24" t="str">
        <f aca="false">IF(F155&lt;Summary!$B$4+1,"yes","")</f>
        <v>yes</v>
      </c>
    </row>
    <row r="156" customFormat="false" ht="15" hidden="false" customHeight="false" outlineLevel="0" collapsed="false">
      <c r="A156" s="24" t="n">
        <f aca="false">INT((ROW()-2)/Summary!$B$8)+1</f>
        <v>1</v>
      </c>
      <c r="B156" s="24" t="n">
        <f aca="false">MOD(ROW()-2,Summary!$B$8)+1</f>
        <v>155</v>
      </c>
      <c r="C156" s="24" t="str">
        <f aca="false">INDEX('Running Order'!$C$2:$C$225,B156)</f>
        <v>TATTASETV STING</v>
      </c>
      <c r="D156" s="24" t="str">
        <f aca="false">INDEX('Running Order'!$D$2:$D$225,B156)</f>
        <v>Sting</v>
      </c>
      <c r="E156" s="5" t="n">
        <f aca="false">IF(INDEX('Running Order'!$B$2:$B$225,B156)="Y",INDEX('Running Order'!$E$2:$E$225,B156),0)</f>
        <v>6.94444444444444E-005</v>
      </c>
      <c r="F156" s="6" t="n">
        <f aca="false">(A156-1)*Summary!$B$5+INDEX('Running Order'!$F$2:$F$225,B156)</f>
        <v>46296.207962963</v>
      </c>
      <c r="G156" s="6" t="n">
        <f aca="false">F156+E156</f>
        <v>46296.2080324074</v>
      </c>
      <c r="H156" s="24" t="str">
        <f aca="false">IF(INDEX('Running Order'!$B$2:$B$225,B156)="Y","on air","dropped")</f>
        <v>on air</v>
      </c>
      <c r="I156" s="24" t="str">
        <f aca="false">IF(F156&lt;Summary!$B$4+1,"yes","")</f>
        <v>yes</v>
      </c>
    </row>
    <row r="157" customFormat="false" ht="15" hidden="false" customHeight="false" outlineLevel="0" collapsed="false">
      <c r="A157" s="24" t="n">
        <f aca="false">INT((ROW()-2)/Summary!$B$8)+1</f>
        <v>1</v>
      </c>
      <c r="B157" s="24" t="n">
        <f aca="false">MOD(ROW()-2,Summary!$B$8)+1</f>
        <v>156</v>
      </c>
      <c r="C157" s="24" t="str">
        <f aca="false">INDEX('Running Order'!$C$2:$C$225,B157)</f>
        <v>DJINEE AT HEMBADOON</v>
      </c>
      <c r="D157" s="24" t="str">
        <f aca="false">INDEX('Running Order'!$D$2:$D$225,B157)</f>
        <v>Programme</v>
      </c>
      <c r="E157" s="5" t="n">
        <f aca="false">IF(INDEX('Running Order'!$B$2:$B$225,B157)="Y",INDEX('Running Order'!$E$2:$E$225,B157),0)</f>
        <v>0.00260416666666667</v>
      </c>
      <c r="F157" s="6" t="n">
        <f aca="false">(A157-1)*Summary!$B$5+INDEX('Running Order'!$F$2:$F$225,B157)</f>
        <v>46296.2080324074</v>
      </c>
      <c r="G157" s="6" t="n">
        <f aca="false">F157+E157</f>
        <v>46296.2106365741</v>
      </c>
      <c r="H157" s="24" t="str">
        <f aca="false">IF(INDEX('Running Order'!$B$2:$B$225,B157)="Y","on air","dropped")</f>
        <v>on air</v>
      </c>
      <c r="I157" s="24" t="str">
        <f aca="false">IF(F157&lt;Summary!$B$4+1,"yes","")</f>
        <v>yes</v>
      </c>
    </row>
    <row r="158" customFormat="false" ht="15" hidden="false" customHeight="false" outlineLevel="0" collapsed="false">
      <c r="A158" s="24" t="n">
        <f aca="false">INT((ROW()-2)/Summary!$B$8)+1</f>
        <v>1</v>
      </c>
      <c r="B158" s="24" t="n">
        <f aca="false">MOD(ROW()-2,Summary!$B$8)+1</f>
        <v>157</v>
      </c>
      <c r="C158" s="24" t="str">
        <f aca="false">INDEX('Running Order'!$C$2:$C$225,B158)</f>
        <v>CULTURATI HIGHLIGHT UPDATE</v>
      </c>
      <c r="D158" s="24" t="str">
        <f aca="false">INDEX('Running Order'!$D$2:$D$225,B158)</f>
        <v>Short</v>
      </c>
      <c r="E158" s="5" t="n">
        <f aca="false">IF(INDEX('Running Order'!$B$2:$B$225,B158)="Y",INDEX('Running Order'!$E$2:$E$225,B158),0)</f>
        <v>0.0019212962962963</v>
      </c>
      <c r="F158" s="6" t="n">
        <f aca="false">(A158-1)*Summary!$B$5+INDEX('Running Order'!$F$2:$F$225,B158)</f>
        <v>46296.2106365741</v>
      </c>
      <c r="G158" s="6" t="n">
        <f aca="false">F158+E158</f>
        <v>46296.2125578704</v>
      </c>
      <c r="H158" s="24" t="str">
        <f aca="false">IF(INDEX('Running Order'!$B$2:$B$225,B158)="Y","on air","dropped")</f>
        <v>on air</v>
      </c>
      <c r="I158" s="24" t="str">
        <f aca="false">IF(F158&lt;Summary!$B$4+1,"yes","")</f>
        <v>yes</v>
      </c>
    </row>
    <row r="159" customFormat="false" ht="15" hidden="false" customHeight="false" outlineLevel="0" collapsed="false">
      <c r="A159" s="24" t="n">
        <f aca="false">INT((ROW()-2)/Summary!$B$8)+1</f>
        <v>1</v>
      </c>
      <c r="B159" s="24" t="n">
        <f aca="false">MOD(ROW()-2,Summary!$B$8)+1</f>
        <v>158</v>
      </c>
      <c r="C159" s="24" t="str">
        <f aca="false">INDEX('Running Order'!$C$2:$C$225,B159)</f>
        <v>PLANTAIN PEOPLE'S PARTY</v>
      </c>
      <c r="D159" s="24" t="str">
        <f aca="false">INDEX('Running Order'!$D$2:$D$225,B159)</f>
        <v>Programme</v>
      </c>
      <c r="E159" s="5" t="n">
        <f aca="false">IF(INDEX('Running Order'!$B$2:$B$225,B159)="Y",INDEX('Running Order'!$E$2:$E$225,B159),0)</f>
        <v>0.00590277777777778</v>
      </c>
      <c r="F159" s="6" t="n">
        <f aca="false">(A159-1)*Summary!$B$5+INDEX('Running Order'!$F$2:$F$225,B159)</f>
        <v>46296.2125578704</v>
      </c>
      <c r="G159" s="6" t="n">
        <f aca="false">F159+E159</f>
        <v>46296.2184606481</v>
      </c>
      <c r="H159" s="24" t="str">
        <f aca="false">IF(INDEX('Running Order'!$B$2:$B$225,B159)="Y","on air","dropped")</f>
        <v>on air</v>
      </c>
      <c r="I159" s="24" t="str">
        <f aca="false">IF(F159&lt;Summary!$B$4+1,"yes","")</f>
        <v>yes</v>
      </c>
    </row>
    <row r="160" customFormat="false" ht="15" hidden="false" customHeight="false" outlineLevel="0" collapsed="false">
      <c r="A160" s="24" t="n">
        <f aca="false">INT((ROW()-2)/Summary!$B$8)+1</f>
        <v>1</v>
      </c>
      <c r="B160" s="24" t="n">
        <f aca="false">MOD(ROW()-2,Summary!$B$8)+1</f>
        <v>159</v>
      </c>
      <c r="C160" s="24" t="str">
        <f aca="false">INDEX('Running Order'!$C$2:$C$225,B160)</f>
        <v>TATTASE STING</v>
      </c>
      <c r="D160" s="24" t="str">
        <f aca="false">INDEX('Running Order'!$D$2:$D$225,B160)</f>
        <v>Sting</v>
      </c>
      <c r="E160" s="5" t="n">
        <f aca="false">IF(INDEX('Running Order'!$B$2:$B$225,B160)="Y",INDEX('Running Order'!$E$2:$E$225,B160),0)</f>
        <v>6.94444444444444E-005</v>
      </c>
      <c r="F160" s="6" t="n">
        <f aca="false">(A160-1)*Summary!$B$5+INDEX('Running Order'!$F$2:$F$225,B160)</f>
        <v>46296.2184606481</v>
      </c>
      <c r="G160" s="6" t="n">
        <f aca="false">F160+E160</f>
        <v>46296.2185300926</v>
      </c>
      <c r="H160" s="24" t="str">
        <f aca="false">IF(INDEX('Running Order'!$B$2:$B$225,B160)="Y","on air","dropped")</f>
        <v>on air</v>
      </c>
      <c r="I160" s="24" t="str">
        <f aca="false">IF(F160&lt;Summary!$B$4+1,"yes","")</f>
        <v>yes</v>
      </c>
    </row>
    <row r="161" customFormat="false" ht="15" hidden="false" customHeight="false" outlineLevel="0" collapsed="false">
      <c r="A161" s="24" t="n">
        <f aca="false">INT((ROW()-2)/Summary!$B$8)+1</f>
        <v>1</v>
      </c>
      <c r="B161" s="24" t="n">
        <f aca="false">MOD(ROW()-2,Summary!$B$8)+1</f>
        <v>160</v>
      </c>
      <c r="C161" s="24" t="str">
        <f aca="false">INDEX('Running Order'!$C$2:$C$225,B161)</f>
        <v>SAUSAGE THREADED SPAGHETTI (LONGER VERSION)</v>
      </c>
      <c r="D161" s="24" t="str">
        <f aca="false">INDEX('Running Order'!$D$2:$D$225,B161)</f>
        <v>Programme</v>
      </c>
      <c r="E161" s="5" t="n">
        <f aca="false">IF(INDEX('Running Order'!$B$2:$B$225,B161)="Y",INDEX('Running Order'!$E$2:$E$225,B161),0)</f>
        <v>0.00216435185185185</v>
      </c>
      <c r="F161" s="6" t="n">
        <f aca="false">(A161-1)*Summary!$B$5+INDEX('Running Order'!$F$2:$F$225,B161)</f>
        <v>46296.2185300926</v>
      </c>
      <c r="G161" s="6" t="n">
        <f aca="false">F161+E161</f>
        <v>46296.2206944445</v>
      </c>
      <c r="H161" s="24" t="str">
        <f aca="false">IF(INDEX('Running Order'!$B$2:$B$225,B161)="Y","on air","dropped")</f>
        <v>on air</v>
      </c>
      <c r="I161" s="24" t="str">
        <f aca="false">IF(F161&lt;Summary!$B$4+1,"yes","")</f>
        <v>yes</v>
      </c>
    </row>
    <row r="162" customFormat="false" ht="15" hidden="false" customHeight="false" outlineLevel="0" collapsed="false">
      <c r="A162" s="24" t="n">
        <f aca="false">INT((ROW()-2)/Summary!$B$8)+1</f>
        <v>1</v>
      </c>
      <c r="B162" s="24" t="n">
        <f aca="false">MOD(ROW()-2,Summary!$B$8)+1</f>
        <v>161</v>
      </c>
      <c r="C162" s="24" t="str">
        <f aca="false">INDEX('Running Order'!$C$2:$C$225,B162)</f>
        <v>TATTASE TV STING</v>
      </c>
      <c r="D162" s="24" t="str">
        <f aca="false">INDEX('Running Order'!$D$2:$D$225,B162)</f>
        <v>Sting</v>
      </c>
      <c r="E162" s="5" t="n">
        <f aca="false">IF(INDEX('Running Order'!$B$2:$B$225,B162)="Y",INDEX('Running Order'!$E$2:$E$225,B162),0)</f>
        <v>6.94444444444444E-005</v>
      </c>
      <c r="F162" s="6" t="n">
        <f aca="false">(A162-1)*Summary!$B$5+INDEX('Running Order'!$F$2:$F$225,B162)</f>
        <v>46296.2206944445</v>
      </c>
      <c r="G162" s="6" t="n">
        <f aca="false">F162+E162</f>
        <v>46296.2207638889</v>
      </c>
      <c r="H162" s="24" t="str">
        <f aca="false">IF(INDEX('Running Order'!$B$2:$B$225,B162)="Y","on air","dropped")</f>
        <v>on air</v>
      </c>
      <c r="I162" s="24" t="str">
        <f aca="false">IF(F162&lt;Summary!$B$4+1,"yes","")</f>
        <v>yes</v>
      </c>
    </row>
    <row r="163" customFormat="false" ht="15" hidden="false" customHeight="false" outlineLevel="0" collapsed="false">
      <c r="A163" s="24" t="n">
        <f aca="false">INT((ROW()-2)/Summary!$B$8)+1</f>
        <v>1</v>
      </c>
      <c r="B163" s="24" t="n">
        <f aca="false">MOD(ROW()-2,Summary!$B$8)+1</f>
        <v>162</v>
      </c>
      <c r="C163" s="24" t="str">
        <f aca="false">INDEX('Running Order'!$C$2:$C$225,B163)</f>
        <v>CHANNEL MONTAGE</v>
      </c>
      <c r="D163" s="24" t="str">
        <f aca="false">INDEX('Running Order'!$D$2:$D$225,B163)</f>
        <v>Montage</v>
      </c>
      <c r="E163" s="5" t="n">
        <f aca="false">IF(INDEX('Running Order'!$B$2:$B$225,B163)="Y",INDEX('Running Order'!$E$2:$E$225,B163),0)</f>
        <v>0.000115740740740741</v>
      </c>
      <c r="F163" s="6" t="n">
        <f aca="false">(A163-1)*Summary!$B$5+INDEX('Running Order'!$F$2:$F$225,B163)</f>
        <v>46296.2207638889</v>
      </c>
      <c r="G163" s="6" t="n">
        <f aca="false">F163+E163</f>
        <v>46296.2208796296</v>
      </c>
      <c r="H163" s="24" t="str">
        <f aca="false">IF(INDEX('Running Order'!$B$2:$B$225,B163)="Y","on air","dropped")</f>
        <v>on air</v>
      </c>
      <c r="I163" s="24" t="str">
        <f aca="false">IF(F163&lt;Summary!$B$4+1,"yes","")</f>
        <v>yes</v>
      </c>
    </row>
    <row r="164" customFormat="false" ht="15" hidden="false" customHeight="false" outlineLevel="0" collapsed="false">
      <c r="A164" s="24" t="n">
        <f aca="false">INT((ROW()-2)/Summary!$B$8)+1</f>
        <v>1</v>
      </c>
      <c r="B164" s="24" t="n">
        <f aca="false">MOD(ROW()-2,Summary!$B$8)+1</f>
        <v>163</v>
      </c>
      <c r="C164" s="24" t="str">
        <f aca="false">INDEX('Running Order'!$C$2:$C$225,B164)</f>
        <v>SPICES OF LOVE Season1 Episode1 Welcome to the Neighbourhood</v>
      </c>
      <c r="D164" s="24" t="str">
        <f aca="false">INDEX('Running Order'!$D$2:$D$225,B164)</f>
        <v>Programme</v>
      </c>
      <c r="E164" s="5" t="n">
        <f aca="false">IF(INDEX('Running Order'!$B$2:$B$225,B164)="Y",INDEX('Running Order'!$E$2:$E$225,B164),0)</f>
        <v>0.004375</v>
      </c>
      <c r="F164" s="6" t="n">
        <f aca="false">(A164-1)*Summary!$B$5+INDEX('Running Order'!$F$2:$F$225,B164)</f>
        <v>46296.2208796296</v>
      </c>
      <c r="G164" s="6" t="n">
        <f aca="false">F164+E164</f>
        <v>46296.2252546296</v>
      </c>
      <c r="H164" s="24" t="str">
        <f aca="false">IF(INDEX('Running Order'!$B$2:$B$225,B164)="Y","on air","dropped")</f>
        <v>on air</v>
      </c>
      <c r="I164" s="24" t="str">
        <f aca="false">IF(F164&lt;Summary!$B$4+1,"yes","")</f>
        <v>yes</v>
      </c>
    </row>
    <row r="165" customFormat="false" ht="15" hidden="false" customHeight="false" outlineLevel="0" collapsed="false">
      <c r="A165" s="24" t="n">
        <f aca="false">INT((ROW()-2)/Summary!$B$8)+1</f>
        <v>1</v>
      </c>
      <c r="B165" s="24" t="n">
        <f aca="false">MOD(ROW()-2,Summary!$B$8)+1</f>
        <v>164</v>
      </c>
      <c r="C165" s="24" t="str">
        <f aca="false">INDEX('Running Order'!$C$2:$C$225,B165)</f>
        <v>TATTASE TV STING</v>
      </c>
      <c r="D165" s="24" t="str">
        <f aca="false">INDEX('Running Order'!$D$2:$D$225,B165)</f>
        <v>Sting</v>
      </c>
      <c r="E165" s="5" t="n">
        <f aca="false">IF(INDEX('Running Order'!$B$2:$B$225,B165)="Y",INDEX('Running Order'!$E$2:$E$225,B165),0)</f>
        <v>6.94444444444444E-005</v>
      </c>
      <c r="F165" s="6" t="n">
        <f aca="false">(A165-1)*Summary!$B$5+INDEX('Running Order'!$F$2:$F$225,B165)</f>
        <v>46296.2252546296</v>
      </c>
      <c r="G165" s="6" t="n">
        <f aca="false">F165+E165</f>
        <v>46296.2253240741</v>
      </c>
      <c r="H165" s="24" t="str">
        <f aca="false">IF(INDEX('Running Order'!$B$2:$B$225,B165)="Y","on air","dropped")</f>
        <v>on air</v>
      </c>
      <c r="I165" s="24" t="str">
        <f aca="false">IF(F165&lt;Summary!$B$4+1,"yes","")</f>
        <v>yes</v>
      </c>
    </row>
    <row r="166" customFormat="false" ht="15" hidden="false" customHeight="false" outlineLevel="0" collapsed="false">
      <c r="A166" s="24" t="n">
        <f aca="false">INT((ROW()-2)/Summary!$B$8)+1</f>
        <v>1</v>
      </c>
      <c r="B166" s="24" t="n">
        <f aca="false">MOD(ROW()-2,Summary!$B$8)+1</f>
        <v>165</v>
      </c>
      <c r="C166" s="24" t="str">
        <f aca="false">INDEX('Running Order'!$C$2:$C$225,B166)</f>
        <v>Visit Lagos Fresh Food HubidiOro Mushin</v>
      </c>
      <c r="D166" s="24" t="str">
        <f aca="false">INDEX('Running Order'!$D$2:$D$225,B166)</f>
        <v>Short</v>
      </c>
      <c r="E166" s="5" t="n">
        <f aca="false">IF(INDEX('Running Order'!$B$2:$B$225,B166)="Y",INDEX('Running Order'!$E$2:$E$225,B166),0)</f>
        <v>0.000763888888888889</v>
      </c>
      <c r="F166" s="6" t="n">
        <f aca="false">(A166-1)*Summary!$B$5+INDEX('Running Order'!$F$2:$F$225,B166)</f>
        <v>46296.2253240741</v>
      </c>
      <c r="G166" s="6" t="n">
        <f aca="false">F166+E166</f>
        <v>46296.226087963</v>
      </c>
      <c r="H166" s="24" t="str">
        <f aca="false">IF(INDEX('Running Order'!$B$2:$B$225,B166)="Y","on air","dropped")</f>
        <v>on air</v>
      </c>
      <c r="I166" s="24" t="str">
        <f aca="false">IF(F166&lt;Summary!$B$4+1,"yes","")</f>
        <v>yes</v>
      </c>
    </row>
    <row r="167" customFormat="false" ht="15" hidden="false" customHeight="false" outlineLevel="0" collapsed="false">
      <c r="A167" s="24" t="n">
        <f aca="false">INT((ROW()-2)/Summary!$B$8)+1</f>
        <v>1</v>
      </c>
      <c r="B167" s="24" t="n">
        <f aca="false">MOD(ROW()-2,Summary!$B$8)+1</f>
        <v>166</v>
      </c>
      <c r="C167" s="24" t="str">
        <f aca="false">INDEX('Running Order'!$C$2:$C$225,B167)</f>
        <v>UNILORIN LET'S JOLLOF</v>
      </c>
      <c r="D167" s="24" t="str">
        <f aca="false">INDEX('Running Order'!$D$2:$D$225,B167)</f>
        <v>Short</v>
      </c>
      <c r="E167" s="5" t="n">
        <f aca="false">IF(INDEX('Running Order'!$B$2:$B$225,B167)="Y",INDEX('Running Order'!$E$2:$E$225,B167),0)</f>
        <v>0.000636574074074074</v>
      </c>
      <c r="F167" s="6" t="n">
        <f aca="false">(A167-1)*Summary!$B$5+INDEX('Running Order'!$F$2:$F$225,B167)</f>
        <v>46296.226087963</v>
      </c>
      <c r="G167" s="6" t="n">
        <f aca="false">F167+E167</f>
        <v>46296.226724537</v>
      </c>
      <c r="H167" s="24" t="str">
        <f aca="false">IF(INDEX('Running Order'!$B$2:$B$225,B167)="Y","on air","dropped")</f>
        <v>on air</v>
      </c>
      <c r="I167" s="24" t="str">
        <f aca="false">IF(F167&lt;Summary!$B$4+1,"yes","")</f>
        <v>yes</v>
      </c>
    </row>
    <row r="168" customFormat="false" ht="15" hidden="false" customHeight="false" outlineLevel="0" collapsed="false">
      <c r="A168" s="24" t="n">
        <f aca="false">INT((ROW()-2)/Summary!$B$8)+1</f>
        <v>1</v>
      </c>
      <c r="B168" s="24" t="n">
        <f aca="false">MOD(ROW()-2,Summary!$B$8)+1</f>
        <v>167</v>
      </c>
      <c r="C168" s="24" t="str">
        <f aca="false">INDEX('Running Order'!$C$2:$C$225,B168)</f>
        <v>KNORR PURPOSE TV MOV NEW</v>
      </c>
      <c r="D168" s="24" t="str">
        <f aca="false">INDEX('Running Order'!$D$2:$D$225,B168)</f>
        <v>Commercial</v>
      </c>
      <c r="E168" s="5" t="n">
        <f aca="false">IF(INDEX('Running Order'!$B$2:$B$225,B168)="Y",INDEX('Running Order'!$E$2:$E$225,B168),0)</f>
        <v>0.000347222222222222</v>
      </c>
      <c r="F168" s="6" t="n">
        <f aca="false">(A168-1)*Summary!$B$5+INDEX('Running Order'!$F$2:$F$225,B168)</f>
        <v>46296.226724537</v>
      </c>
      <c r="G168" s="6" t="n">
        <f aca="false">F168+E168</f>
        <v>46296.2270717593</v>
      </c>
      <c r="H168" s="24" t="str">
        <f aca="false">IF(INDEX('Running Order'!$B$2:$B$225,B168)="Y","on air","dropped")</f>
        <v>on air</v>
      </c>
      <c r="I168" s="24" t="str">
        <f aca="false">IF(F168&lt;Summary!$B$4+1,"yes","")</f>
        <v>yes</v>
      </c>
    </row>
    <row r="169" customFormat="false" ht="15" hidden="false" customHeight="false" outlineLevel="0" collapsed="false">
      <c r="A169" s="24" t="n">
        <f aca="false">INT((ROW()-2)/Summary!$B$8)+1</f>
        <v>1</v>
      </c>
      <c r="B169" s="24" t="n">
        <f aca="false">MOD(ROW()-2,Summary!$B$8)+1</f>
        <v>168</v>
      </c>
      <c r="C169" s="24" t="str">
        <f aca="false">INDEX('Running Order'!$C$2:$C$225,B169)</f>
        <v>AFTER DARK COMING SOON REAL</v>
      </c>
      <c r="D169" s="24" t="str">
        <f aca="false">INDEX('Running Order'!$D$2:$D$225,B169)</f>
        <v>Promo</v>
      </c>
      <c r="E169" s="5" t="n">
        <f aca="false">IF(INDEX('Running Order'!$B$2:$B$225,B169)="Y",INDEX('Running Order'!$E$2:$E$225,B169),0)</f>
        <v>0.00068287037037037</v>
      </c>
      <c r="F169" s="6" t="n">
        <f aca="false">(A169-1)*Summary!$B$5+INDEX('Running Order'!$F$2:$F$225,B169)</f>
        <v>46296.2270717593</v>
      </c>
      <c r="G169" s="6" t="n">
        <f aca="false">F169+E169</f>
        <v>46296.2277546296</v>
      </c>
      <c r="H169" s="24" t="str">
        <f aca="false">IF(INDEX('Running Order'!$B$2:$B$225,B169)="Y","on air","dropped")</f>
        <v>on air</v>
      </c>
      <c r="I169" s="24" t="str">
        <f aca="false">IF(F169&lt;Summary!$B$4+1,"yes","")</f>
        <v>yes</v>
      </c>
    </row>
    <row r="170" customFormat="false" ht="15" hidden="false" customHeight="false" outlineLevel="0" collapsed="false">
      <c r="A170" s="24" t="n">
        <f aca="false">INT((ROW()-2)/Summary!$B$8)+1</f>
        <v>1</v>
      </c>
      <c r="B170" s="24" t="n">
        <f aca="false">MOD(ROW()-2,Summary!$B$8)+1</f>
        <v>169</v>
      </c>
      <c r="C170" s="24" t="str">
        <f aca="false">INDEX('Running Order'!$C$2:$C$225,B170)</f>
        <v>CHANNEL MONTAGE</v>
      </c>
      <c r="D170" s="24" t="str">
        <f aca="false">INDEX('Running Order'!$D$2:$D$225,B170)</f>
        <v>Montage</v>
      </c>
      <c r="E170" s="5" t="n">
        <f aca="false">IF(INDEX('Running Order'!$B$2:$B$225,B170)="Y",INDEX('Running Order'!$E$2:$E$225,B170),0)</f>
        <v>0.000115740740740741</v>
      </c>
      <c r="F170" s="6" t="n">
        <f aca="false">(A170-1)*Summary!$B$5+INDEX('Running Order'!$F$2:$F$225,B170)</f>
        <v>46296.2277546296</v>
      </c>
      <c r="G170" s="6" t="n">
        <f aca="false">F170+E170</f>
        <v>46296.2278703704</v>
      </c>
      <c r="H170" s="24" t="str">
        <f aca="false">IF(INDEX('Running Order'!$B$2:$B$225,B170)="Y","on air","dropped")</f>
        <v>on air</v>
      </c>
      <c r="I170" s="24" t="str">
        <f aca="false">IF(F170&lt;Summary!$B$4+1,"yes","")</f>
        <v>yes</v>
      </c>
    </row>
    <row r="171" customFormat="false" ht="15" hidden="false" customHeight="false" outlineLevel="0" collapsed="false">
      <c r="A171" s="24" t="n">
        <f aca="false">INT((ROW()-2)/Summary!$B$8)+1</f>
        <v>1</v>
      </c>
      <c r="B171" s="24" t="n">
        <f aca="false">MOD(ROW()-2,Summary!$B$8)+1</f>
        <v>170</v>
      </c>
      <c r="C171" s="24" t="str">
        <f aca="false">INDEX('Running Order'!$C$2:$C$225,B171)</f>
        <v>Fried Rice with Oven Roasted Fish and Moimoi AJINOMOTO 247 Episode11</v>
      </c>
      <c r="D171" s="24" t="str">
        <f aca="false">INDEX('Running Order'!$D$2:$D$225,B171)</f>
        <v>Programme</v>
      </c>
      <c r="E171" s="5" t="n">
        <f aca="false">IF(INDEX('Running Order'!$B$2:$B$225,B171)="Y",INDEX('Running Order'!$E$2:$E$225,B171),0)</f>
        <v>0.0043287037037037</v>
      </c>
      <c r="F171" s="6" t="n">
        <f aca="false">(A171-1)*Summary!$B$5+INDEX('Running Order'!$F$2:$F$225,B171)</f>
        <v>46296.2278703704</v>
      </c>
      <c r="G171" s="6" t="n">
        <f aca="false">F171+E171</f>
        <v>46296.2321990741</v>
      </c>
      <c r="H171" s="24" t="str">
        <f aca="false">IF(INDEX('Running Order'!$B$2:$B$225,B171)="Y","on air","dropped")</f>
        <v>on air</v>
      </c>
      <c r="I171" s="24" t="str">
        <f aca="false">IF(F171&lt;Summary!$B$4+1,"yes","")</f>
        <v>yes</v>
      </c>
    </row>
    <row r="172" customFormat="false" ht="15" hidden="false" customHeight="false" outlineLevel="0" collapsed="false">
      <c r="A172" s="24" t="n">
        <f aca="false">INT((ROW()-2)/Summary!$B$8)+1</f>
        <v>1</v>
      </c>
      <c r="B172" s="24" t="n">
        <f aca="false">MOD(ROW()-2,Summary!$B$8)+1</f>
        <v>171</v>
      </c>
      <c r="C172" s="24" t="str">
        <f aca="false">INDEX('Running Order'!$C$2:$C$225,B172)</f>
        <v>TECNO FOOD WITH TIWA SAVAGE real</v>
      </c>
      <c r="D172" s="24" t="str">
        <f aca="false">INDEX('Running Order'!$D$2:$D$225,B172)</f>
        <v>Commercial</v>
      </c>
      <c r="E172" s="5" t="n">
        <f aca="false">IF(INDEX('Running Order'!$B$2:$B$225,B172)="Y",INDEX('Running Order'!$E$2:$E$225,B172),0)</f>
        <v>0.000335648148148148</v>
      </c>
      <c r="F172" s="6" t="n">
        <f aca="false">(A172-1)*Summary!$B$5+INDEX('Running Order'!$F$2:$F$225,B172)</f>
        <v>46296.2321990741</v>
      </c>
      <c r="G172" s="6" t="n">
        <f aca="false">F172+E172</f>
        <v>46296.2325347222</v>
      </c>
      <c r="H172" s="24" t="str">
        <f aca="false">IF(INDEX('Running Order'!$B$2:$B$225,B172)="Y","on air","dropped")</f>
        <v>on air</v>
      </c>
      <c r="I172" s="24" t="str">
        <f aca="false">IF(F172&lt;Summary!$B$4+1,"yes","")</f>
        <v>yes</v>
      </c>
    </row>
    <row r="173" customFormat="false" ht="15" hidden="false" customHeight="false" outlineLevel="0" collapsed="false">
      <c r="A173" s="24" t="n">
        <f aca="false">INT((ROW()-2)/Summary!$B$8)+1</f>
        <v>1</v>
      </c>
      <c r="B173" s="24" t="n">
        <f aca="false">MOD(ROW()-2,Summary!$B$8)+1</f>
        <v>172</v>
      </c>
      <c r="C173" s="24" t="str">
        <f aca="false">INDEX('Running Order'!$C$2:$C$225,B173)</f>
        <v>Sonia Tomato Mix</v>
      </c>
      <c r="D173" s="24" t="str">
        <f aca="false">INDEX('Running Order'!$D$2:$D$225,B173)</f>
        <v>Commercial</v>
      </c>
      <c r="E173" s="5" t="n">
        <f aca="false">IF(INDEX('Running Order'!$B$2:$B$225,B173)="Y",INDEX('Running Order'!$E$2:$E$225,B173),0)</f>
        <v>0.000115740740740741</v>
      </c>
      <c r="F173" s="6" t="n">
        <f aca="false">(A173-1)*Summary!$B$5+INDEX('Running Order'!$F$2:$F$225,B173)</f>
        <v>46296.2325347222</v>
      </c>
      <c r="G173" s="6" t="n">
        <f aca="false">F173+E173</f>
        <v>46296.232650463</v>
      </c>
      <c r="H173" s="24" t="str">
        <f aca="false">IF(INDEX('Running Order'!$B$2:$B$225,B173)="Y","on air","dropped")</f>
        <v>on air</v>
      </c>
      <c r="I173" s="24" t="str">
        <f aca="false">IF(F173&lt;Summary!$B$4+1,"yes","")</f>
        <v>yes</v>
      </c>
    </row>
    <row r="174" customFormat="false" ht="15" hidden="false" customHeight="false" outlineLevel="0" collapsed="false">
      <c r="A174" s="24" t="n">
        <f aca="false">INT((ROW()-2)/Summary!$B$8)+1</f>
        <v>1</v>
      </c>
      <c r="B174" s="24" t="n">
        <f aca="false">MOD(ROW()-2,Summary!$B$8)+1</f>
        <v>173</v>
      </c>
      <c r="C174" s="24" t="str">
        <f aca="false">INDEX('Running Order'!$C$2:$C$225,B174)</f>
        <v>CHANNEL MONTAGE</v>
      </c>
      <c r="D174" s="24" t="str">
        <f aca="false">INDEX('Running Order'!$D$2:$D$225,B174)</f>
        <v>Montage</v>
      </c>
      <c r="E174" s="5" t="n">
        <f aca="false">IF(INDEX('Running Order'!$B$2:$B$225,B174)="Y",INDEX('Running Order'!$E$2:$E$225,B174),0)</f>
        <v>0.000115740740740741</v>
      </c>
      <c r="F174" s="6" t="n">
        <f aca="false">(A174-1)*Summary!$B$5+INDEX('Running Order'!$F$2:$F$225,B174)</f>
        <v>46296.232650463</v>
      </c>
      <c r="G174" s="6" t="n">
        <f aca="false">F174+E174</f>
        <v>46296.2327662037</v>
      </c>
      <c r="H174" s="24" t="str">
        <f aca="false">IF(INDEX('Running Order'!$B$2:$B$225,B174)="Y","on air","dropped")</f>
        <v>on air</v>
      </c>
      <c r="I174" s="24" t="str">
        <f aca="false">IF(F174&lt;Summary!$B$4+1,"yes","")</f>
        <v>yes</v>
      </c>
    </row>
    <row r="175" customFormat="false" ht="15" hidden="false" customHeight="false" outlineLevel="0" collapsed="false">
      <c r="A175" s="24" t="n">
        <f aca="false">INT((ROW()-2)/Summary!$B$8)+1</f>
        <v>1</v>
      </c>
      <c r="B175" s="24" t="n">
        <f aca="false">MOD(ROW()-2,Summary!$B$8)+1</f>
        <v>174</v>
      </c>
      <c r="C175" s="24" t="str">
        <f aca="false">INDEX('Running Order'!$C$2:$C$225,B175)</f>
        <v>CALABAR FOOD with UYAI (NO BRAND) PROMO</v>
      </c>
      <c r="D175" s="24" t="str">
        <f aca="false">INDEX('Running Order'!$D$2:$D$225,B175)</f>
        <v>Promo</v>
      </c>
      <c r="E175" s="5" t="n">
        <f aca="false">IF(INDEX('Running Order'!$B$2:$B$225,B175)="Y",INDEX('Running Order'!$E$2:$E$225,B175),0)</f>
        <v>0.00186342592592593</v>
      </c>
      <c r="F175" s="6" t="n">
        <f aca="false">(A175-1)*Summary!$B$5+INDEX('Running Order'!$F$2:$F$225,B175)</f>
        <v>46296.2327662037</v>
      </c>
      <c r="G175" s="6" t="n">
        <f aca="false">F175+E175</f>
        <v>46296.2346296296</v>
      </c>
      <c r="H175" s="24" t="str">
        <f aca="false">IF(INDEX('Running Order'!$B$2:$B$225,B175)="Y","on air","dropped")</f>
        <v>on air</v>
      </c>
      <c r="I175" s="24" t="str">
        <f aca="false">IF(F175&lt;Summary!$B$4+1,"yes","")</f>
        <v>yes</v>
      </c>
    </row>
    <row r="176" customFormat="false" ht="15" hidden="false" customHeight="false" outlineLevel="0" collapsed="false">
      <c r="A176" s="24" t="n">
        <f aca="false">INT((ROW()-2)/Summary!$B$8)+1</f>
        <v>1</v>
      </c>
      <c r="B176" s="24" t="n">
        <f aca="false">MOD(ROW()-2,Summary!$B$8)+1</f>
        <v>175</v>
      </c>
      <c r="C176" s="24" t="str">
        <f aca="false">INDEX('Running Order'!$C$2:$C$225,B176)</f>
        <v>DRONE 9JA PLASTPRINTPACK</v>
      </c>
      <c r="D176" s="24" t="str">
        <f aca="false">INDEX('Running Order'!$D$2:$D$225,B176)</f>
        <v>Programme</v>
      </c>
      <c r="E176" s="5" t="n">
        <f aca="false">IF(INDEX('Running Order'!$B$2:$B$225,B176)="Y",INDEX('Running Order'!$E$2:$E$225,B176),0)</f>
        <v>0.00462962962962963</v>
      </c>
      <c r="F176" s="6" t="n">
        <f aca="false">(A176-1)*Summary!$B$5+INDEX('Running Order'!$F$2:$F$225,B176)</f>
        <v>46296.2346296296</v>
      </c>
      <c r="G176" s="6" t="n">
        <f aca="false">F176+E176</f>
        <v>46296.2392592593</v>
      </c>
      <c r="H176" s="24" t="str">
        <f aca="false">IF(INDEX('Running Order'!$B$2:$B$225,B176)="Y","on air","dropped")</f>
        <v>on air</v>
      </c>
      <c r="I176" s="24" t="str">
        <f aca="false">IF(F176&lt;Summary!$B$4+1,"yes","")</f>
        <v>yes</v>
      </c>
    </row>
    <row r="177" customFormat="false" ht="15" hidden="false" customHeight="false" outlineLevel="0" collapsed="false">
      <c r="A177" s="24" t="n">
        <f aca="false">INT((ROW()-2)/Summary!$B$8)+1</f>
        <v>1</v>
      </c>
      <c r="B177" s="24" t="n">
        <f aca="false">MOD(ROW()-2,Summary!$B$8)+1</f>
        <v>176</v>
      </c>
      <c r="C177" s="24" t="str">
        <f aca="false">INDEX('Running Order'!$C$2:$C$225,B177)</f>
        <v>FAYROUZ</v>
      </c>
      <c r="D177" s="24" t="str">
        <f aca="false">INDEX('Running Order'!$D$2:$D$225,B177)</f>
        <v>Commercial</v>
      </c>
      <c r="E177" s="5" t="n">
        <f aca="false">IF(INDEX('Running Order'!$B$2:$B$225,B177)="Y",INDEX('Running Order'!$E$2:$E$225,B177),0)</f>
        <v>0.000694444444444445</v>
      </c>
      <c r="F177" s="6" t="n">
        <f aca="false">(A177-1)*Summary!$B$5+INDEX('Running Order'!$F$2:$F$225,B177)</f>
        <v>46296.2392592593</v>
      </c>
      <c r="G177" s="6" t="n">
        <f aca="false">F177+E177</f>
        <v>46296.2399537037</v>
      </c>
      <c r="H177" s="24" t="str">
        <f aca="false">IF(INDEX('Running Order'!$B$2:$B$225,B177)="Y","on air","dropped")</f>
        <v>on air</v>
      </c>
      <c r="I177" s="24" t="str">
        <f aca="false">IF(F177&lt;Summary!$B$4+1,"yes","")</f>
        <v>yes</v>
      </c>
    </row>
    <row r="178" customFormat="false" ht="15" hidden="false" customHeight="false" outlineLevel="0" collapsed="false">
      <c r="A178" s="24" t="n">
        <f aca="false">INT((ROW()-2)/Summary!$B$8)+1</f>
        <v>1</v>
      </c>
      <c r="B178" s="24" t="n">
        <f aca="false">MOD(ROW()-2,Summary!$B$8)+1</f>
        <v>177</v>
      </c>
      <c r="C178" s="24" t="str">
        <f aca="false">INDEX('Running Order'!$C$2:$C$225,B178)</f>
        <v>CHANNEL MONTAGE</v>
      </c>
      <c r="D178" s="24" t="str">
        <f aca="false">INDEX('Running Order'!$D$2:$D$225,B178)</f>
        <v>Montage</v>
      </c>
      <c r="E178" s="5" t="n">
        <f aca="false">IF(INDEX('Running Order'!$B$2:$B$225,B178)="Y",INDEX('Running Order'!$E$2:$E$225,B178),0)</f>
        <v>0.000115740740740741</v>
      </c>
      <c r="F178" s="6" t="n">
        <f aca="false">(A178-1)*Summary!$B$5+INDEX('Running Order'!$F$2:$F$225,B178)</f>
        <v>46296.2399537037</v>
      </c>
      <c r="G178" s="6" t="n">
        <f aca="false">F178+E178</f>
        <v>46296.2400694444</v>
      </c>
      <c r="H178" s="24" t="str">
        <f aca="false">IF(INDEX('Running Order'!$B$2:$B$225,B178)="Y","on air","dropped")</f>
        <v>on air</v>
      </c>
      <c r="I178" s="24" t="str">
        <f aca="false">IF(F178&lt;Summary!$B$4+1,"yes","")</f>
        <v>yes</v>
      </c>
    </row>
    <row r="179" customFormat="false" ht="15" hidden="false" customHeight="false" outlineLevel="0" collapsed="false">
      <c r="A179" s="24" t="n">
        <f aca="false">INT((ROW()-2)/Summary!$B$8)+1</f>
        <v>1</v>
      </c>
      <c r="B179" s="24" t="n">
        <f aca="false">MOD(ROW()-2,Summary!$B$8)+1</f>
        <v>178</v>
      </c>
      <c r="C179" s="24" t="str">
        <f aca="false">INDEX('Running Order'!$C$2:$C$225,B179)</f>
        <v>Maggi Diaries Season 3 Episode 2</v>
      </c>
      <c r="D179" s="24" t="str">
        <f aca="false">INDEX('Running Order'!$D$2:$D$225,B179)</f>
        <v>Programme</v>
      </c>
      <c r="E179" s="5" t="n">
        <f aca="false">IF(INDEX('Running Order'!$B$2:$B$225,B179)="Y",INDEX('Running Order'!$E$2:$E$225,B179),0)</f>
        <v>0.00582175925925926</v>
      </c>
      <c r="F179" s="6" t="n">
        <f aca="false">(A179-1)*Summary!$B$5+INDEX('Running Order'!$F$2:$F$225,B179)</f>
        <v>46296.2400694444</v>
      </c>
      <c r="G179" s="6" t="n">
        <f aca="false">F179+E179</f>
        <v>46296.2458912037</v>
      </c>
      <c r="H179" s="24" t="str">
        <f aca="false">IF(INDEX('Running Order'!$B$2:$B$225,B179)="Y","on air","dropped")</f>
        <v>on air</v>
      </c>
      <c r="I179" s="24" t="str">
        <f aca="false">IF(F179&lt;Summary!$B$4+1,"yes","")</f>
        <v>yes</v>
      </c>
    </row>
    <row r="180" customFormat="false" ht="15" hidden="false" customHeight="false" outlineLevel="0" collapsed="false">
      <c r="A180" s="24" t="n">
        <f aca="false">INT((ROW()-2)/Summary!$B$8)+1</f>
        <v>1</v>
      </c>
      <c r="B180" s="24" t="n">
        <f aca="false">MOD(ROW()-2,Summary!$B$8)+1</f>
        <v>179</v>
      </c>
      <c r="C180" s="24" t="str">
        <f aca="false">INDEX('Running Order'!$C$2:$C$225,B180)</f>
        <v>Shayo - Full Montage</v>
      </c>
      <c r="D180" s="24" t="str">
        <f aca="false">INDEX('Running Order'!$D$2:$D$225,B180)</f>
        <v>Short</v>
      </c>
      <c r="E180" s="5" t="n">
        <f aca="false">IF(INDEX('Running Order'!$B$2:$B$225,B180)="Y",INDEX('Running Order'!$E$2:$E$225,B180),0)</f>
        <v>0.000243055555555556</v>
      </c>
      <c r="F180" s="6" t="n">
        <f aca="false">(A180-1)*Summary!$B$5+INDEX('Running Order'!$F$2:$F$225,B180)</f>
        <v>46296.2458912037</v>
      </c>
      <c r="G180" s="6" t="n">
        <f aca="false">F180+E180</f>
        <v>46296.2461342593</v>
      </c>
      <c r="H180" s="24" t="str">
        <f aca="false">IF(INDEX('Running Order'!$B$2:$B$225,B180)="Y","on air","dropped")</f>
        <v>on air</v>
      </c>
      <c r="I180" s="24" t="str">
        <f aca="false">IF(F180&lt;Summary!$B$4+1,"yes","")</f>
        <v>yes</v>
      </c>
    </row>
    <row r="181" customFormat="false" ht="15" hidden="false" customHeight="false" outlineLevel="0" collapsed="false">
      <c r="A181" s="24" t="n">
        <f aca="false">INT((ROW()-2)/Summary!$B$8)+1</f>
        <v>1</v>
      </c>
      <c r="B181" s="24" t="n">
        <f aca="false">MOD(ROW()-2,Summary!$B$8)+1</f>
        <v>180</v>
      </c>
      <c r="C181" s="24" t="str">
        <f aca="false">INDEX('Running Order'!$C$2:$C$225,B181)</f>
        <v>SOUPS - Full Montage (3)_1</v>
      </c>
      <c r="D181" s="24" t="str">
        <f aca="false">INDEX('Running Order'!$D$2:$D$225,B181)</f>
        <v>Short</v>
      </c>
      <c r="E181" s="5" t="n">
        <f aca="false">IF(INDEX('Running Order'!$B$2:$B$225,B181)="Y",INDEX('Running Order'!$E$2:$E$225,B181),0)</f>
        <v>0.000381944444444445</v>
      </c>
      <c r="F181" s="6" t="n">
        <f aca="false">(A181-1)*Summary!$B$5+INDEX('Running Order'!$F$2:$F$225,B181)</f>
        <v>46296.2461342593</v>
      </c>
      <c r="G181" s="6" t="n">
        <f aca="false">F181+E181</f>
        <v>46296.2465162037</v>
      </c>
      <c r="H181" s="24" t="str">
        <f aca="false">IF(INDEX('Running Order'!$B$2:$B$225,B181)="Y","on air","dropped")</f>
        <v>on air</v>
      </c>
      <c r="I181" s="24" t="str">
        <f aca="false">IF(F181&lt;Summary!$B$4+1,"yes","")</f>
        <v>yes</v>
      </c>
    </row>
    <row r="182" customFormat="false" ht="15" hidden="false" customHeight="false" outlineLevel="0" collapsed="false">
      <c r="A182" s="24" t="n">
        <f aca="false">INT((ROW()-2)/Summary!$B$8)+1</f>
        <v>1</v>
      </c>
      <c r="B182" s="24" t="n">
        <f aca="false">MOD(ROW()-2,Summary!$B$8)+1</f>
        <v>181</v>
      </c>
      <c r="C182" s="24" t="str">
        <f aca="false">INDEX('Running Order'!$C$2:$C$225,B182)</f>
        <v>GOODNESS KITCHEN WITH CHEF T</v>
      </c>
      <c r="D182" s="24" t="str">
        <f aca="false">INDEX('Running Order'!$D$2:$D$225,B182)</f>
        <v>Programme</v>
      </c>
      <c r="E182" s="5" t="n">
        <f aca="false">IF(INDEX('Running Order'!$B$2:$B$225,B182)="Y",INDEX('Running Order'!$E$2:$E$225,B182),0)</f>
        <v>0.0146875</v>
      </c>
      <c r="F182" s="6" t="n">
        <f aca="false">(A182-1)*Summary!$B$5+INDEX('Running Order'!$F$2:$F$225,B182)</f>
        <v>46296.2465162037</v>
      </c>
      <c r="G182" s="6" t="n">
        <f aca="false">F182+E182</f>
        <v>46296.2612037037</v>
      </c>
      <c r="H182" s="24" t="str">
        <f aca="false">IF(INDEX('Running Order'!$B$2:$B$225,B182)="Y","on air","dropped")</f>
        <v>on air</v>
      </c>
      <c r="I182" s="24" t="str">
        <f aca="false">IF(F182&lt;Summary!$B$4+1,"yes","")</f>
        <v>yes</v>
      </c>
    </row>
    <row r="183" customFormat="false" ht="15" hidden="false" customHeight="false" outlineLevel="0" collapsed="false">
      <c r="A183" s="24" t="n">
        <f aca="false">INT((ROW()-2)/Summary!$B$8)+1</f>
        <v>1</v>
      </c>
      <c r="B183" s="24" t="n">
        <f aca="false">MOD(ROW()-2,Summary!$B$8)+1</f>
        <v>182</v>
      </c>
      <c r="C183" s="24" t="str">
        <f aca="false">INDEX('Running Order'!$C$2:$C$225,B183)</f>
        <v>TATTASE TV STING</v>
      </c>
      <c r="D183" s="24" t="str">
        <f aca="false">INDEX('Running Order'!$D$2:$D$225,B183)</f>
        <v>Sting</v>
      </c>
      <c r="E183" s="5" t="n">
        <f aca="false">IF(INDEX('Running Order'!$B$2:$B$225,B183)="Y",INDEX('Running Order'!$E$2:$E$225,B183),0)</f>
        <v>6.94444444444444E-005</v>
      </c>
      <c r="F183" s="6" t="n">
        <f aca="false">(A183-1)*Summary!$B$5+INDEX('Running Order'!$F$2:$F$225,B183)</f>
        <v>46296.2612037037</v>
      </c>
      <c r="G183" s="6" t="n">
        <f aca="false">F183+E183</f>
        <v>46296.2612731482</v>
      </c>
      <c r="H183" s="24" t="str">
        <f aca="false">IF(INDEX('Running Order'!$B$2:$B$225,B183)="Y","on air","dropped")</f>
        <v>on air</v>
      </c>
      <c r="I183" s="24" t="str">
        <f aca="false">IF(F183&lt;Summary!$B$4+1,"yes","")</f>
        <v>yes</v>
      </c>
    </row>
    <row r="184" customFormat="false" ht="15" hidden="false" customHeight="false" outlineLevel="0" collapsed="false">
      <c r="A184" s="24" t="n">
        <f aca="false">INT((ROW()-2)/Summary!$B$8)+1</f>
        <v>1</v>
      </c>
      <c r="B184" s="24" t="n">
        <f aca="false">MOD(ROW()-2,Summary!$B$8)+1</f>
        <v>183</v>
      </c>
      <c r="C184" s="24" t="str">
        <f aca="false">INDEX('Running Order'!$C$2:$C$225,B184)</f>
        <v>BOYS CAN COOK TV SHOW OPENING MONTAGE</v>
      </c>
      <c r="D184" s="24" t="str">
        <f aca="false">INDEX('Running Order'!$D$2:$D$225,B184)</f>
        <v>Short</v>
      </c>
      <c r="E184" s="5" t="n">
        <f aca="false">IF(INDEX('Running Order'!$B$2:$B$225,B184)="Y",INDEX('Running Order'!$E$2:$E$225,B184),0)</f>
        <v>0.000243055555555556</v>
      </c>
      <c r="F184" s="6" t="n">
        <f aca="false">(A184-1)*Summary!$B$5+INDEX('Running Order'!$F$2:$F$225,B184)</f>
        <v>46296.2612731482</v>
      </c>
      <c r="G184" s="6" t="n">
        <f aca="false">F184+E184</f>
        <v>46296.2615162037</v>
      </c>
      <c r="H184" s="24" t="str">
        <f aca="false">IF(INDEX('Running Order'!$B$2:$B$225,B184)="Y","on air","dropped")</f>
        <v>on air</v>
      </c>
      <c r="I184" s="24" t="str">
        <f aca="false">IF(F184&lt;Summary!$B$4+1,"yes","")</f>
        <v>yes</v>
      </c>
    </row>
    <row r="185" customFormat="false" ht="15" hidden="false" customHeight="false" outlineLevel="0" collapsed="false">
      <c r="A185" s="24" t="n">
        <f aca="false">INT((ROW()-2)/Summary!$B$8)+1</f>
        <v>1</v>
      </c>
      <c r="B185" s="24" t="n">
        <f aca="false">MOD(ROW()-2,Summary!$B$8)+1</f>
        <v>184</v>
      </c>
      <c r="C185" s="24" t="str">
        <f aca="false">INDEX('Running Order'!$C$2:$C$225,B185)</f>
        <v>TWISCO AMVCA</v>
      </c>
      <c r="D185" s="24" t="str">
        <f aca="false">INDEX('Running Order'!$D$2:$D$225,B185)</f>
        <v>Commercial</v>
      </c>
      <c r="E185" s="5" t="n">
        <f aca="false">IF(INDEX('Running Order'!$B$2:$B$225,B185)="Y",INDEX('Running Order'!$E$2:$E$225,B185),0)</f>
        <v>0.000474537037037037</v>
      </c>
      <c r="F185" s="6" t="n">
        <f aca="false">(A185-1)*Summary!$B$5+INDEX('Running Order'!$F$2:$F$225,B185)</f>
        <v>46296.2615162037</v>
      </c>
      <c r="G185" s="6" t="n">
        <f aca="false">F185+E185</f>
        <v>46296.2619907407</v>
      </c>
      <c r="H185" s="24" t="str">
        <f aca="false">IF(INDEX('Running Order'!$B$2:$B$225,B185)="Y","on air","dropped")</f>
        <v>on air</v>
      </c>
      <c r="I185" s="24" t="str">
        <f aca="false">IF(F185&lt;Summary!$B$4+1,"yes","")</f>
        <v>yes</v>
      </c>
    </row>
    <row r="186" customFormat="false" ht="15" hidden="false" customHeight="false" outlineLevel="0" collapsed="false">
      <c r="A186" s="24" t="n">
        <f aca="false">INT((ROW()-2)/Summary!$B$8)+1</f>
        <v>1</v>
      </c>
      <c r="B186" s="24" t="n">
        <f aca="false">MOD(ROW()-2,Summary!$B$8)+1</f>
        <v>185</v>
      </c>
      <c r="C186" s="24" t="str">
        <f aca="false">INDEX('Running Order'!$C$2:$C$225,B186)</f>
        <v>CHANNEL MONTAGE</v>
      </c>
      <c r="D186" s="24" t="str">
        <f aca="false">INDEX('Running Order'!$D$2:$D$225,B186)</f>
        <v>Montage</v>
      </c>
      <c r="E186" s="5" t="n">
        <f aca="false">IF(INDEX('Running Order'!$B$2:$B$225,B186)="Y",INDEX('Running Order'!$E$2:$E$225,B186),0)</f>
        <v>0.000115740740740741</v>
      </c>
      <c r="F186" s="6" t="n">
        <f aca="false">(A186-1)*Summary!$B$5+INDEX('Running Order'!$F$2:$F$225,B186)</f>
        <v>46296.2619907407</v>
      </c>
      <c r="G186" s="6" t="n">
        <f aca="false">F186+E186</f>
        <v>46296.2621064815</v>
      </c>
      <c r="H186" s="24" t="str">
        <f aca="false">IF(INDEX('Running Order'!$B$2:$B$225,B186)="Y","on air","dropped")</f>
        <v>on air</v>
      </c>
      <c r="I186" s="24" t="str">
        <f aca="false">IF(F186&lt;Summary!$B$4+1,"yes","")</f>
        <v>yes</v>
      </c>
    </row>
    <row r="187" customFormat="false" ht="15" hidden="false" customHeight="false" outlineLevel="0" collapsed="false">
      <c r="A187" s="24" t="n">
        <f aca="false">INT((ROW()-2)/Summary!$B$8)+1</f>
        <v>1</v>
      </c>
      <c r="B187" s="24" t="n">
        <f aca="false">MOD(ROW()-2,Summary!$B$8)+1</f>
        <v>186</v>
      </c>
      <c r="C187" s="24" t="str">
        <f aca="false">INDEX('Running Order'!$C$2:$C$225,B187)</f>
        <v>How to Make Okro soup with Mr. Chef</v>
      </c>
      <c r="D187" s="24" t="str">
        <f aca="false">INDEX('Running Order'!$D$2:$D$225,B187)</f>
        <v>Short</v>
      </c>
      <c r="E187" s="5" t="n">
        <f aca="false">IF(INDEX('Running Order'!$B$2:$B$225,B187)="Y",INDEX('Running Order'!$E$2:$E$225,B187),0)</f>
        <v>0.000648148148148148</v>
      </c>
      <c r="F187" s="6" t="n">
        <f aca="false">(A187-1)*Summary!$B$5+INDEX('Running Order'!$F$2:$F$225,B187)</f>
        <v>46296.2621064815</v>
      </c>
      <c r="G187" s="6" t="n">
        <f aca="false">F187+E187</f>
        <v>46296.2627546296</v>
      </c>
      <c r="H187" s="24" t="str">
        <f aca="false">IF(INDEX('Running Order'!$B$2:$B$225,B187)="Y","on air","dropped")</f>
        <v>on air</v>
      </c>
      <c r="I187" s="24" t="str">
        <f aca="false">IF(F187&lt;Summary!$B$4+1,"yes","")</f>
        <v>yes</v>
      </c>
    </row>
    <row r="188" customFormat="false" ht="15" hidden="false" customHeight="false" outlineLevel="0" collapsed="false">
      <c r="A188" s="24" t="n">
        <f aca="false">INT((ROW()-2)/Summary!$B$8)+1</f>
        <v>1</v>
      </c>
      <c r="B188" s="24" t="n">
        <f aca="false">MOD(ROW()-2,Summary!$B$8)+1</f>
        <v>187</v>
      </c>
      <c r="C188" s="24" t="str">
        <f aca="false">INDEX('Running Order'!$C$2:$C$225,B188)</f>
        <v>CHIVITA ADVERT WITHOUT LOGO</v>
      </c>
      <c r="D188" s="24" t="str">
        <f aca="false">INDEX('Running Order'!$D$2:$D$225,B188)</f>
        <v>Commercial</v>
      </c>
      <c r="E188" s="5" t="n">
        <f aca="false">IF(INDEX('Running Order'!$B$2:$B$225,B188)="Y",INDEX('Running Order'!$E$2:$E$225,B188),0)</f>
        <v>0.00292824074074074</v>
      </c>
      <c r="F188" s="6" t="n">
        <f aca="false">(A188-1)*Summary!$B$5+INDEX('Running Order'!$F$2:$F$225,B188)</f>
        <v>46296.2627546296</v>
      </c>
      <c r="G188" s="6" t="n">
        <f aca="false">F188+E188</f>
        <v>46296.2656828704</v>
      </c>
      <c r="H188" s="24" t="str">
        <f aca="false">IF(INDEX('Running Order'!$B$2:$B$225,B188)="Y","on air","dropped")</f>
        <v>on air</v>
      </c>
      <c r="I188" s="24" t="str">
        <f aca="false">IF(F188&lt;Summary!$B$4+1,"yes","")</f>
        <v>yes</v>
      </c>
    </row>
    <row r="189" customFormat="false" ht="15" hidden="false" customHeight="false" outlineLevel="0" collapsed="false">
      <c r="A189" s="24" t="n">
        <f aca="false">INT((ROW()-2)/Summary!$B$8)+1</f>
        <v>1</v>
      </c>
      <c r="B189" s="24" t="n">
        <f aca="false">MOD(ROW()-2,Summary!$B$8)+1</f>
        <v>188</v>
      </c>
      <c r="C189" s="24" t="str">
        <f aca="false">INDEX('Running Order'!$C$2:$C$225,B189)</f>
        <v>TATTASE TV STING</v>
      </c>
      <c r="D189" s="24" t="str">
        <f aca="false">INDEX('Running Order'!$D$2:$D$225,B189)</f>
        <v>Sting</v>
      </c>
      <c r="E189" s="5" t="n">
        <f aca="false">IF(INDEX('Running Order'!$B$2:$B$225,B189)="Y",INDEX('Running Order'!$E$2:$E$225,B189),0)</f>
        <v>6.94444444444444E-005</v>
      </c>
      <c r="F189" s="6" t="n">
        <f aca="false">(A189-1)*Summary!$B$5+INDEX('Running Order'!$F$2:$F$225,B189)</f>
        <v>46296.2656828704</v>
      </c>
      <c r="G189" s="6" t="n">
        <f aca="false">F189+E189</f>
        <v>46296.2657523148</v>
      </c>
      <c r="H189" s="24" t="str">
        <f aca="false">IF(INDEX('Running Order'!$B$2:$B$225,B189)="Y","on air","dropped")</f>
        <v>on air</v>
      </c>
      <c r="I189" s="24" t="str">
        <f aca="false">IF(F189&lt;Summary!$B$4+1,"yes","")</f>
        <v>yes</v>
      </c>
    </row>
    <row r="190" customFormat="false" ht="15" hidden="false" customHeight="false" outlineLevel="0" collapsed="false">
      <c r="A190" s="24" t="n">
        <f aca="false">INT((ROW()-2)/Summary!$B$8)+1</f>
        <v>1</v>
      </c>
      <c r="B190" s="24" t="n">
        <f aca="false">MOD(ROW()-2,Summary!$B$8)+1</f>
        <v>189</v>
      </c>
      <c r="C190" s="24" t="str">
        <f aca="false">INDEX('Running Order'!$C$2:$C$225,B190)</f>
        <v>DONE STREET FOOD TOUR MR ROLAND (ISLANDER BARBEQUE)</v>
      </c>
      <c r="D190" s="24" t="str">
        <f aca="false">INDEX('Running Order'!$D$2:$D$225,B190)</f>
        <v>Programme</v>
      </c>
      <c r="E190" s="5" t="n">
        <f aca="false">IF(INDEX('Running Order'!$B$2:$B$225,B190)="Y",INDEX('Running Order'!$E$2:$E$225,B190),0)</f>
        <v>0.00454861111111111</v>
      </c>
      <c r="F190" s="6" t="n">
        <f aca="false">(A190-1)*Summary!$B$5+INDEX('Running Order'!$F$2:$F$225,B190)</f>
        <v>46296.2657523148</v>
      </c>
      <c r="G190" s="6" t="n">
        <f aca="false">F190+E190</f>
        <v>46296.2703009259</v>
      </c>
      <c r="H190" s="24" t="str">
        <f aca="false">IF(INDEX('Running Order'!$B$2:$B$225,B190)="Y","on air","dropped")</f>
        <v>on air</v>
      </c>
      <c r="I190" s="24" t="str">
        <f aca="false">IF(F190&lt;Summary!$B$4+1,"yes","")</f>
        <v>yes</v>
      </c>
    </row>
    <row r="191" customFormat="false" ht="15" hidden="false" customHeight="false" outlineLevel="0" collapsed="false">
      <c r="A191" s="24" t="n">
        <f aca="false">INT((ROW()-2)/Summary!$B$8)+1</f>
        <v>1</v>
      </c>
      <c r="B191" s="24" t="n">
        <f aca="false">MOD(ROW()-2,Summary!$B$8)+1</f>
        <v>190</v>
      </c>
      <c r="C191" s="24" t="str">
        <f aca="false">INDEX('Running Order'!$C$2:$C$225,B191)</f>
        <v>FAYROUZ</v>
      </c>
      <c r="D191" s="24" t="str">
        <f aca="false">INDEX('Running Order'!$D$2:$D$225,B191)</f>
        <v>Commercial</v>
      </c>
      <c r="E191" s="5" t="n">
        <f aca="false">IF(INDEX('Running Order'!$B$2:$B$225,B191)="Y",INDEX('Running Order'!$E$2:$E$225,B191),0)</f>
        <v>0.000694444444444445</v>
      </c>
      <c r="F191" s="6" t="n">
        <f aca="false">(A191-1)*Summary!$B$5+INDEX('Running Order'!$F$2:$F$225,B191)</f>
        <v>46296.2703009259</v>
      </c>
      <c r="G191" s="6" t="n">
        <f aca="false">F191+E191</f>
        <v>46296.2709953704</v>
      </c>
      <c r="H191" s="24" t="str">
        <f aca="false">IF(INDEX('Running Order'!$B$2:$B$225,B191)="Y","on air","dropped")</f>
        <v>on air</v>
      </c>
      <c r="I191" s="24" t="str">
        <f aca="false">IF(F191&lt;Summary!$B$4+1,"yes","")</f>
        <v>yes</v>
      </c>
    </row>
    <row r="192" customFormat="false" ht="15" hidden="false" customHeight="false" outlineLevel="0" collapsed="false">
      <c r="A192" s="24" t="n">
        <f aca="false">INT((ROW()-2)/Summary!$B$8)+1</f>
        <v>1</v>
      </c>
      <c r="B192" s="24" t="n">
        <f aca="false">MOD(ROW()-2,Summary!$B$8)+1</f>
        <v>191</v>
      </c>
      <c r="C192" s="24" t="str">
        <f aca="false">INDEX('Running Order'!$C$2:$C$225,B192)</f>
        <v>TATTASE TV STING</v>
      </c>
      <c r="D192" s="24" t="str">
        <f aca="false">INDEX('Running Order'!$D$2:$D$225,B192)</f>
        <v>Sting</v>
      </c>
      <c r="E192" s="5" t="n">
        <f aca="false">IF(INDEX('Running Order'!$B$2:$B$225,B192)="Y",INDEX('Running Order'!$E$2:$E$225,B192),0)</f>
        <v>6.94444444444444E-005</v>
      </c>
      <c r="F192" s="6" t="n">
        <f aca="false">(A192-1)*Summary!$B$5+INDEX('Running Order'!$F$2:$F$225,B192)</f>
        <v>46296.2709953704</v>
      </c>
      <c r="G192" s="6" t="n">
        <f aca="false">F192+E192</f>
        <v>46296.2710648148</v>
      </c>
      <c r="H192" s="24" t="str">
        <f aca="false">IF(INDEX('Running Order'!$B$2:$B$225,B192)="Y","on air","dropped")</f>
        <v>on air</v>
      </c>
      <c r="I192" s="24" t="str">
        <f aca="false">IF(F192&lt;Summary!$B$4+1,"yes","")</f>
        <v>yes</v>
      </c>
    </row>
    <row r="193" customFormat="false" ht="15" hidden="false" customHeight="false" outlineLevel="0" collapsed="false">
      <c r="A193" s="24" t="n">
        <f aca="false">INT((ROW()-2)/Summary!$B$8)+1</f>
        <v>1</v>
      </c>
      <c r="B193" s="24" t="n">
        <f aca="false">MOD(ROW()-2,Summary!$B$8)+1</f>
        <v>192</v>
      </c>
      <c r="C193" s="24" t="str">
        <f aca="false">INDEX('Running Order'!$C$2:$C$225,B193)</f>
        <v>MERCYS MENU SEASON 2 EPISODE 1 TAAOOMA COCONUT NOODLES</v>
      </c>
      <c r="D193" s="24" t="str">
        <f aca="false">INDEX('Running Order'!$D$2:$D$225,B193)</f>
        <v>Programme</v>
      </c>
      <c r="E193" s="5" t="n">
        <f aca="false">IF(INDEX('Running Order'!$B$2:$B$225,B193)="Y",INDEX('Running Order'!$E$2:$E$225,B193),0)</f>
        <v>0.0157407407407407</v>
      </c>
      <c r="F193" s="6" t="n">
        <f aca="false">(A193-1)*Summary!$B$5+INDEX('Running Order'!$F$2:$F$225,B193)</f>
        <v>46296.2710648148</v>
      </c>
      <c r="G193" s="6" t="n">
        <f aca="false">F193+E193</f>
        <v>46296.2868055556</v>
      </c>
      <c r="H193" s="24" t="str">
        <f aca="false">IF(INDEX('Running Order'!$B$2:$B$225,B193)="Y","on air","dropped")</f>
        <v>on air</v>
      </c>
      <c r="I193" s="24" t="str">
        <f aca="false">IF(F193&lt;Summary!$B$4+1,"yes","")</f>
        <v>yes</v>
      </c>
    </row>
    <row r="194" customFormat="false" ht="15" hidden="false" customHeight="false" outlineLevel="0" collapsed="false">
      <c r="A194" s="24" t="n">
        <f aca="false">INT((ROW()-2)/Summary!$B$8)+1</f>
        <v>1</v>
      </c>
      <c r="B194" s="24" t="n">
        <f aca="false">MOD(ROW()-2,Summary!$B$8)+1</f>
        <v>193</v>
      </c>
      <c r="C194" s="24" t="str">
        <f aca="false">INDEX('Running Order'!$C$2:$C$225,B194)</f>
        <v>TATTASE TV STING</v>
      </c>
      <c r="D194" s="24" t="str">
        <f aca="false">INDEX('Running Order'!$D$2:$D$225,B194)</f>
        <v>Sting</v>
      </c>
      <c r="E194" s="5" t="n">
        <f aca="false">IF(INDEX('Running Order'!$B$2:$B$225,B194)="Y",INDEX('Running Order'!$E$2:$E$225,B194),0)</f>
        <v>6.94444444444444E-005</v>
      </c>
      <c r="F194" s="6" t="n">
        <f aca="false">(A194-1)*Summary!$B$5+INDEX('Running Order'!$F$2:$F$225,B194)</f>
        <v>46296.2868055556</v>
      </c>
      <c r="G194" s="6" t="n">
        <f aca="false">F194+E194</f>
        <v>46296.286875</v>
      </c>
      <c r="H194" s="24" t="str">
        <f aca="false">IF(INDEX('Running Order'!$B$2:$B$225,B194)="Y","on air","dropped")</f>
        <v>on air</v>
      </c>
      <c r="I194" s="24" t="str">
        <f aca="false">IF(F194&lt;Summary!$B$4+1,"yes","")</f>
        <v>yes</v>
      </c>
    </row>
    <row r="195" customFormat="false" ht="15" hidden="false" customHeight="false" outlineLevel="0" collapsed="false">
      <c r="A195" s="24" t="n">
        <f aca="false">INT((ROW()-2)/Summary!$B$8)+1</f>
        <v>1</v>
      </c>
      <c r="B195" s="24" t="n">
        <f aca="false">MOD(ROW()-2,Summary!$B$8)+1</f>
        <v>194</v>
      </c>
      <c r="C195" s="24" t="str">
        <f aca="false">INDEX('Running Order'!$C$2:$C$225,B195)</f>
        <v>TERRA CUBE COMMERCIAL</v>
      </c>
      <c r="D195" s="24" t="str">
        <f aca="false">INDEX('Running Order'!$D$2:$D$225,B195)</f>
        <v>Commercial</v>
      </c>
      <c r="E195" s="5" t="n">
        <f aca="false">IF(INDEX('Running Order'!$B$2:$B$225,B195)="Y",INDEX('Running Order'!$E$2:$E$225,B195),0)</f>
        <v>0.000694444444444445</v>
      </c>
      <c r="F195" s="6" t="n">
        <f aca="false">(A195-1)*Summary!$B$5+INDEX('Running Order'!$F$2:$F$225,B195)</f>
        <v>46296.286875</v>
      </c>
      <c r="G195" s="6" t="n">
        <f aca="false">F195+E195</f>
        <v>46296.2875694444</v>
      </c>
      <c r="H195" s="24" t="str">
        <f aca="false">IF(INDEX('Running Order'!$B$2:$B$225,B195)="Y","on air","dropped")</f>
        <v>on air</v>
      </c>
      <c r="I195" s="24" t="str">
        <f aca="false">IF(F195&lt;Summary!$B$4+1,"yes","")</f>
        <v>yes</v>
      </c>
    </row>
    <row r="196" customFormat="false" ht="15" hidden="false" customHeight="false" outlineLevel="0" collapsed="false">
      <c r="A196" s="24" t="n">
        <f aca="false">INT((ROW()-2)/Summary!$B$8)+1</f>
        <v>1</v>
      </c>
      <c r="B196" s="24" t="n">
        <f aca="false">MOD(ROW()-2,Summary!$B$8)+1</f>
        <v>195</v>
      </c>
      <c r="C196" s="24" t="str">
        <f aca="false">INDEX('Running Order'!$C$2:$C$225,B196)</f>
        <v>the new Ayoola Poundo Yam Packs</v>
      </c>
      <c r="D196" s="24" t="str">
        <f aca="false">INDEX('Running Order'!$D$2:$D$225,B196)</f>
        <v>Commercial</v>
      </c>
      <c r="E196" s="5" t="n">
        <f aca="false">IF(INDEX('Running Order'!$B$2:$B$225,B196)="Y",INDEX('Running Order'!$E$2:$E$225,B196),0)</f>
        <v>0.00149305555555556</v>
      </c>
      <c r="F196" s="6" t="n">
        <f aca="false">(A196-1)*Summary!$B$5+INDEX('Running Order'!$F$2:$F$225,B196)</f>
        <v>46296.2875694444</v>
      </c>
      <c r="G196" s="6" t="n">
        <f aca="false">F196+E196</f>
        <v>46296.2890625</v>
      </c>
      <c r="H196" s="24" t="str">
        <f aca="false">IF(INDEX('Running Order'!$B$2:$B$225,B196)="Y","on air","dropped")</f>
        <v>on air</v>
      </c>
      <c r="I196" s="24" t="str">
        <f aca="false">IF(F196&lt;Summary!$B$4+1,"yes","")</f>
        <v>yes</v>
      </c>
    </row>
    <row r="197" customFormat="false" ht="15" hidden="false" customHeight="false" outlineLevel="0" collapsed="false">
      <c r="A197" s="24" t="n">
        <f aca="false">INT((ROW()-2)/Summary!$B$8)+1</f>
        <v>1</v>
      </c>
      <c r="B197" s="24" t="n">
        <f aca="false">MOD(ROW()-2,Summary!$B$8)+1</f>
        <v>196</v>
      </c>
      <c r="C197" s="24" t="str">
        <f aca="false">INDEX('Running Order'!$C$2:$C$225,B197)</f>
        <v>TATTASE TV STING</v>
      </c>
      <c r="D197" s="24" t="str">
        <f aca="false">INDEX('Running Order'!$D$2:$D$225,B197)</f>
        <v>Sting</v>
      </c>
      <c r="E197" s="5" t="n">
        <f aca="false">IF(INDEX('Running Order'!$B$2:$B$225,B197)="Y",INDEX('Running Order'!$E$2:$E$225,B197),0)</f>
        <v>6.94444444444444E-005</v>
      </c>
      <c r="F197" s="6" t="n">
        <f aca="false">(A197-1)*Summary!$B$5+INDEX('Running Order'!$F$2:$F$225,B197)</f>
        <v>46296.2890625</v>
      </c>
      <c r="G197" s="6" t="n">
        <f aca="false">F197+E197</f>
        <v>46296.2891319444</v>
      </c>
      <c r="H197" s="24" t="str">
        <f aca="false">IF(INDEX('Running Order'!$B$2:$B$225,B197)="Y","on air","dropped")</f>
        <v>on air</v>
      </c>
      <c r="I197" s="24" t="str">
        <f aca="false">IF(F197&lt;Summary!$B$4+1,"yes","")</f>
        <v>yes</v>
      </c>
    </row>
    <row r="198" customFormat="false" ht="15" hidden="false" customHeight="false" outlineLevel="0" collapsed="false">
      <c r="A198" s="24" t="n">
        <f aca="false">INT((ROW()-2)/Summary!$B$8)+1</f>
        <v>1</v>
      </c>
      <c r="B198" s="24" t="n">
        <f aca="false">MOD(ROW()-2,Summary!$B$8)+1</f>
        <v>197</v>
      </c>
      <c r="C198" s="24" t="str">
        <f aca="false">INDEX('Running Order'!$C$2:$C$225,B198)</f>
        <v>GOLDEN PENNY SOUP FEST</v>
      </c>
      <c r="D198" s="24" t="str">
        <f aca="false">INDEX('Running Order'!$D$2:$D$225,B198)</f>
        <v>Short</v>
      </c>
      <c r="E198" s="5" t="n">
        <f aca="false">IF(INDEX('Running Order'!$B$2:$B$225,B198)="Y",INDEX('Running Order'!$E$2:$E$225,B198),0)</f>
        <v>0.0009375</v>
      </c>
      <c r="F198" s="6" t="n">
        <f aca="false">(A198-1)*Summary!$B$5+INDEX('Running Order'!$F$2:$F$225,B198)</f>
        <v>46296.2891319444</v>
      </c>
      <c r="G198" s="6" t="n">
        <f aca="false">F198+E198</f>
        <v>46296.2900694445</v>
      </c>
      <c r="H198" s="24" t="str">
        <f aca="false">IF(INDEX('Running Order'!$B$2:$B$225,B198)="Y","on air","dropped")</f>
        <v>on air</v>
      </c>
      <c r="I198" s="24" t="str">
        <f aca="false">IF(F198&lt;Summary!$B$4+1,"yes","")</f>
        <v>yes</v>
      </c>
    </row>
    <row r="199" customFormat="false" ht="15" hidden="false" customHeight="false" outlineLevel="0" collapsed="false">
      <c r="A199" s="24" t="n">
        <f aca="false">INT((ROW()-2)/Summary!$B$8)+1</f>
        <v>1</v>
      </c>
      <c r="B199" s="24" t="n">
        <f aca="false">MOD(ROW()-2,Summary!$B$8)+1</f>
        <v>198</v>
      </c>
      <c r="C199" s="24" t="str">
        <f aca="false">INDEX('Running Order'!$C$2:$C$225,B199)</f>
        <v>WHAT'S COOKING TRAILER 1</v>
      </c>
      <c r="D199" s="24" t="str">
        <f aca="false">INDEX('Running Order'!$D$2:$D$225,B199)</f>
        <v>Promo</v>
      </c>
      <c r="E199" s="5" t="n">
        <f aca="false">IF(INDEX('Running Order'!$B$2:$B$225,B199)="Y",INDEX('Running Order'!$E$2:$E$225,B199),0)</f>
        <v>0.00056712962962963</v>
      </c>
      <c r="F199" s="6" t="n">
        <f aca="false">(A199-1)*Summary!$B$5+INDEX('Running Order'!$F$2:$F$225,B199)</f>
        <v>46296.2900694445</v>
      </c>
      <c r="G199" s="6" t="n">
        <f aca="false">F199+E199</f>
        <v>46296.2906365741</v>
      </c>
      <c r="H199" s="24" t="str">
        <f aca="false">IF(INDEX('Running Order'!$B$2:$B$225,B199)="Y","on air","dropped")</f>
        <v>on air</v>
      </c>
      <c r="I199" s="24" t="str">
        <f aca="false">IF(F199&lt;Summary!$B$4+1,"yes","")</f>
        <v>yes</v>
      </c>
    </row>
    <row r="200" customFormat="false" ht="15" hidden="false" customHeight="false" outlineLevel="0" collapsed="false">
      <c r="A200" s="24" t="n">
        <f aca="false">INT((ROW()-2)/Summary!$B$8)+1</f>
        <v>1</v>
      </c>
      <c r="B200" s="24" t="n">
        <f aca="false">MOD(ROW()-2,Summary!$B$8)+1</f>
        <v>199</v>
      </c>
      <c r="C200" s="24" t="str">
        <f aca="false">INDEX('Running Order'!$C$2:$C$225,B200)</f>
        <v>CHANNEL MONTAGE</v>
      </c>
      <c r="D200" s="24" t="str">
        <f aca="false">INDEX('Running Order'!$D$2:$D$225,B200)</f>
        <v>Montage</v>
      </c>
      <c r="E200" s="5" t="n">
        <f aca="false">IF(INDEX('Running Order'!$B$2:$B$225,B200)="Y",INDEX('Running Order'!$E$2:$E$225,B200),0)</f>
        <v>0.000115740740740741</v>
      </c>
      <c r="F200" s="6" t="n">
        <f aca="false">(A200-1)*Summary!$B$5+INDEX('Running Order'!$F$2:$F$225,B200)</f>
        <v>46296.2906365741</v>
      </c>
      <c r="G200" s="6" t="n">
        <f aca="false">F200+E200</f>
        <v>46296.2907523148</v>
      </c>
      <c r="H200" s="24" t="str">
        <f aca="false">IF(INDEX('Running Order'!$B$2:$B$225,B200)="Y","on air","dropped")</f>
        <v>on air</v>
      </c>
      <c r="I200" s="24" t="str">
        <f aca="false">IF(F200&lt;Summary!$B$4+1,"yes","")</f>
        <v>yes</v>
      </c>
    </row>
    <row r="201" customFormat="false" ht="15" hidden="false" customHeight="false" outlineLevel="0" collapsed="false">
      <c r="A201" s="24" t="n">
        <f aca="false">INT((ROW()-2)/Summary!$B$8)+1</f>
        <v>1</v>
      </c>
      <c r="B201" s="24" t="n">
        <f aca="false">MOD(ROW()-2,Summary!$B$8)+1</f>
        <v>200</v>
      </c>
      <c r="C201" s="24" t="str">
        <f aca="false">INDEX('Running Order'!$C$2:$C$225,B201)</f>
        <v>AKWAABA DAY1</v>
      </c>
      <c r="D201" s="24" t="str">
        <f aca="false">INDEX('Running Order'!$D$2:$D$225,B201)</f>
        <v>Programme</v>
      </c>
      <c r="E201" s="5" t="n">
        <f aca="false">IF(INDEX('Running Order'!$B$2:$B$225,B201)="Y",INDEX('Running Order'!$E$2:$E$225,B201),0)</f>
        <v>0.0186921296296296</v>
      </c>
      <c r="F201" s="6" t="n">
        <f aca="false">(A201-1)*Summary!$B$5+INDEX('Running Order'!$F$2:$F$225,B201)</f>
        <v>46296.2907523148</v>
      </c>
      <c r="G201" s="6" t="n">
        <f aca="false">F201+E201</f>
        <v>46296.3094444444</v>
      </c>
      <c r="H201" s="24" t="str">
        <f aca="false">IF(INDEX('Running Order'!$B$2:$B$225,B201)="Y","on air","dropped")</f>
        <v>on air</v>
      </c>
      <c r="I201" s="24" t="str">
        <f aca="false">IF(F201&lt;Summary!$B$4+1,"yes","")</f>
        <v>yes</v>
      </c>
    </row>
    <row r="202" customFormat="false" ht="15" hidden="false" customHeight="false" outlineLevel="0" collapsed="false">
      <c r="A202" s="24" t="n">
        <f aca="false">INT((ROW()-2)/Summary!$B$8)+1</f>
        <v>1</v>
      </c>
      <c r="B202" s="24" t="n">
        <f aca="false">MOD(ROW()-2,Summary!$B$8)+1</f>
        <v>201</v>
      </c>
      <c r="C202" s="24" t="str">
        <f aca="false">INDEX('Running Order'!$C$2:$C$225,B202)</f>
        <v>CHANNEL MONTAGE</v>
      </c>
      <c r="D202" s="24" t="str">
        <f aca="false">INDEX('Running Order'!$D$2:$D$225,B202)</f>
        <v>Montage</v>
      </c>
      <c r="E202" s="5" t="n">
        <f aca="false">IF(INDEX('Running Order'!$B$2:$B$225,B202)="Y",INDEX('Running Order'!$E$2:$E$225,B202),0)</f>
        <v>0.000115740740740741</v>
      </c>
      <c r="F202" s="6" t="n">
        <f aca="false">(A202-1)*Summary!$B$5+INDEX('Running Order'!$F$2:$F$225,B202)</f>
        <v>46296.3094444444</v>
      </c>
      <c r="G202" s="6" t="n">
        <f aca="false">F202+E202</f>
        <v>46296.3095601852</v>
      </c>
      <c r="H202" s="24" t="str">
        <f aca="false">IF(INDEX('Running Order'!$B$2:$B$225,B202)="Y","on air","dropped")</f>
        <v>on air</v>
      </c>
      <c r="I202" s="24" t="str">
        <f aca="false">IF(F202&lt;Summary!$B$4+1,"yes","")</f>
        <v>yes</v>
      </c>
    </row>
    <row r="203" customFormat="false" ht="15" hidden="false" customHeight="false" outlineLevel="0" collapsed="false">
      <c r="A203" s="24" t="n">
        <f aca="false">INT((ROW()-2)/Summary!$B$8)+1</f>
        <v>1</v>
      </c>
      <c r="B203" s="24" t="n">
        <f aca="false">MOD(ROW()-2,Summary!$B$8)+1</f>
        <v>202</v>
      </c>
      <c r="C203" s="24" t="str">
        <f aca="false">INDEX('Running Order'!$C$2:$C$225,B203)</f>
        <v>New and Improved Gino Max Chicken Cubes</v>
      </c>
      <c r="D203" s="24" t="str">
        <f aca="false">INDEX('Running Order'!$D$2:$D$225,B203)</f>
        <v>Commercial</v>
      </c>
      <c r="E203" s="5" t="n">
        <f aca="false">IF(INDEX('Running Order'!$B$2:$B$225,B203)="Y",INDEX('Running Order'!$E$2:$E$225,B203),0)</f>
        <v>0.000520833333333333</v>
      </c>
      <c r="F203" s="6" t="n">
        <f aca="false">(A203-1)*Summary!$B$5+INDEX('Running Order'!$F$2:$F$225,B203)</f>
        <v>46296.3095601852</v>
      </c>
      <c r="G203" s="6" t="n">
        <f aca="false">F203+E203</f>
        <v>46296.3100810185</v>
      </c>
      <c r="H203" s="24" t="str">
        <f aca="false">IF(INDEX('Running Order'!$B$2:$B$225,B203)="Y","on air","dropped")</f>
        <v>on air</v>
      </c>
      <c r="I203" s="24" t="str">
        <f aca="false">IF(F203&lt;Summary!$B$4+1,"yes","")</f>
        <v>yes</v>
      </c>
    </row>
    <row r="204" customFormat="false" ht="15" hidden="false" customHeight="false" outlineLevel="0" collapsed="false">
      <c r="A204" s="24" t="n">
        <f aca="false">INT((ROW()-2)/Summary!$B$8)+1</f>
        <v>1</v>
      </c>
      <c r="B204" s="24" t="n">
        <f aca="false">MOD(ROW()-2,Summary!$B$8)+1</f>
        <v>203</v>
      </c>
      <c r="C204" s="24" t="str">
        <f aca="false">INDEX('Running Order'!$C$2:$C$225,B204)</f>
        <v>Kivo Hot Pepper Commercial</v>
      </c>
      <c r="D204" s="24" t="str">
        <f aca="false">INDEX('Running Order'!$D$2:$D$225,B204)</f>
        <v>Commercial</v>
      </c>
      <c r="E204" s="5" t="n">
        <f aca="false">IF(INDEX('Running Order'!$B$2:$B$225,B204)="Y",INDEX('Running Order'!$E$2:$E$225,B204),0)</f>
        <v>0.000520833333333333</v>
      </c>
      <c r="F204" s="6" t="n">
        <f aca="false">(A204-1)*Summary!$B$5+INDEX('Running Order'!$F$2:$F$225,B204)</f>
        <v>46296.3100810185</v>
      </c>
      <c r="G204" s="6" t="n">
        <f aca="false">F204+E204</f>
        <v>46296.3106018519</v>
      </c>
      <c r="H204" s="24" t="str">
        <f aca="false">IF(INDEX('Running Order'!$B$2:$B$225,B204)="Y","on air","dropped")</f>
        <v>on air</v>
      </c>
      <c r="I204" s="24" t="str">
        <f aca="false">IF(F204&lt;Summary!$B$4+1,"yes","")</f>
        <v>yes</v>
      </c>
    </row>
    <row r="205" customFormat="false" ht="15" hidden="false" customHeight="false" outlineLevel="0" collapsed="false">
      <c r="A205" s="24" t="n">
        <f aca="false">INT((ROW()-2)/Summary!$B$8)+1</f>
        <v>1</v>
      </c>
      <c r="B205" s="24" t="n">
        <f aca="false">MOD(ROW()-2,Summary!$B$8)+1</f>
        <v>204</v>
      </c>
      <c r="C205" s="24" t="str">
        <f aca="false">INDEX('Running Order'!$C$2:$C$225,B205)</f>
        <v>TATTASE TV STING</v>
      </c>
      <c r="D205" s="24" t="str">
        <f aca="false">INDEX('Running Order'!$D$2:$D$225,B205)</f>
        <v>Sting</v>
      </c>
      <c r="E205" s="5" t="n">
        <f aca="false">IF(INDEX('Running Order'!$B$2:$B$225,B205)="Y",INDEX('Running Order'!$E$2:$E$225,B205),0)</f>
        <v>6.94444444444444E-005</v>
      </c>
      <c r="F205" s="6" t="n">
        <f aca="false">(A205-1)*Summary!$B$5+INDEX('Running Order'!$F$2:$F$225,B205)</f>
        <v>46296.3106018519</v>
      </c>
      <c r="G205" s="6" t="n">
        <f aca="false">F205+E205</f>
        <v>46296.3106712963</v>
      </c>
      <c r="H205" s="24" t="str">
        <f aca="false">IF(INDEX('Running Order'!$B$2:$B$225,B205)="Y","on air","dropped")</f>
        <v>on air</v>
      </c>
      <c r="I205" s="24" t="str">
        <f aca="false">IF(F205&lt;Summary!$B$4+1,"yes","")</f>
        <v>yes</v>
      </c>
    </row>
    <row r="206" customFormat="false" ht="15" hidden="false" customHeight="false" outlineLevel="0" collapsed="false">
      <c r="A206" s="24" t="n">
        <f aca="false">INT((ROW()-2)/Summary!$B$8)+1</f>
        <v>1</v>
      </c>
      <c r="B206" s="24" t="n">
        <f aca="false">MOD(ROW()-2,Summary!$B$8)+1</f>
        <v>205</v>
      </c>
      <c r="C206" s="24" t="str">
        <f aca="false">INDEX('Running Order'!$C$2:$C$225,B206)</f>
        <v>KNORR CELEBRITY TAKEOUT SEASON 1 EPISODE 1</v>
      </c>
      <c r="D206" s="24" t="str">
        <f aca="false">INDEX('Running Order'!$D$2:$D$225,B206)</f>
        <v>Programme</v>
      </c>
      <c r="E206" s="5" t="n">
        <f aca="false">IF(INDEX('Running Order'!$B$2:$B$225,B206)="Y",INDEX('Running Order'!$E$2:$E$225,B206),0)</f>
        <v>0.0195023148148148</v>
      </c>
      <c r="F206" s="6" t="n">
        <f aca="false">(A206-1)*Summary!$B$5+INDEX('Running Order'!$F$2:$F$225,B206)</f>
        <v>46296.3106712963</v>
      </c>
      <c r="G206" s="6" t="n">
        <f aca="false">F206+E206</f>
        <v>46296.3301736111</v>
      </c>
      <c r="H206" s="24" t="str">
        <f aca="false">IF(INDEX('Running Order'!$B$2:$B$225,B206)="Y","on air","dropped")</f>
        <v>on air</v>
      </c>
      <c r="I206" s="24" t="str">
        <f aca="false">IF(F206&lt;Summary!$B$4+1,"yes","")</f>
        <v>yes</v>
      </c>
    </row>
    <row r="207" customFormat="false" ht="15" hidden="false" customHeight="false" outlineLevel="0" collapsed="false">
      <c r="A207" s="24" t="n">
        <f aca="false">INT((ROW()-2)/Summary!$B$8)+1</f>
        <v>1</v>
      </c>
      <c r="B207" s="24" t="n">
        <f aca="false">MOD(ROW()-2,Summary!$B$8)+1</f>
        <v>206</v>
      </c>
      <c r="C207" s="24" t="str">
        <f aca="false">INDEX('Running Order'!$C$2:$C$225,B207)</f>
        <v>TATTASE TV STING</v>
      </c>
      <c r="D207" s="24" t="str">
        <f aca="false">INDEX('Running Order'!$D$2:$D$225,B207)</f>
        <v>Sting</v>
      </c>
      <c r="E207" s="5" t="n">
        <f aca="false">IF(INDEX('Running Order'!$B$2:$B$225,B207)="Y",INDEX('Running Order'!$E$2:$E$225,B207),0)</f>
        <v>6.94444444444444E-005</v>
      </c>
      <c r="F207" s="6" t="n">
        <f aca="false">(A207-1)*Summary!$B$5+INDEX('Running Order'!$F$2:$F$225,B207)</f>
        <v>46296.3301736111</v>
      </c>
      <c r="G207" s="6" t="n">
        <f aca="false">F207+E207</f>
        <v>46296.3302430556</v>
      </c>
      <c r="H207" s="24" t="str">
        <f aca="false">IF(INDEX('Running Order'!$B$2:$B$225,B207)="Y","on air","dropped")</f>
        <v>on air</v>
      </c>
      <c r="I207" s="24" t="str">
        <f aca="false">IF(F207&lt;Summary!$B$4+1,"yes","")</f>
        <v>yes</v>
      </c>
    </row>
    <row r="208" customFormat="false" ht="15" hidden="false" customHeight="false" outlineLevel="0" collapsed="false">
      <c r="A208" s="24" t="n">
        <f aca="false">INT((ROW()-2)/Summary!$B$8)+1</f>
        <v>1</v>
      </c>
      <c r="B208" s="24" t="n">
        <f aca="false">MOD(ROW()-2,Summary!$B$8)+1</f>
        <v>207</v>
      </c>
      <c r="C208" s="24" t="str">
        <f aca="false">INDEX('Running Order'!$C$2:$C$225,B208)</f>
        <v>AFTER DARK COMING SOON</v>
      </c>
      <c r="D208" s="24" t="str">
        <f aca="false">INDEX('Running Order'!$D$2:$D$225,B208)</f>
        <v>Promo</v>
      </c>
      <c r="E208" s="5" t="n">
        <f aca="false">IF(INDEX('Running Order'!$B$2:$B$225,B208)="Y",INDEX('Running Order'!$E$2:$E$225,B208),0)</f>
        <v>0.000949074074074074</v>
      </c>
      <c r="F208" s="6" t="n">
        <f aca="false">(A208-1)*Summary!$B$5+INDEX('Running Order'!$F$2:$F$225,B208)</f>
        <v>46296.3302430556</v>
      </c>
      <c r="G208" s="6" t="n">
        <f aca="false">F208+E208</f>
        <v>46296.3311921296</v>
      </c>
      <c r="H208" s="24" t="str">
        <f aca="false">IF(INDEX('Running Order'!$B$2:$B$225,B208)="Y","on air","dropped")</f>
        <v>on air</v>
      </c>
      <c r="I208" s="24" t="str">
        <f aca="false">IF(F208&lt;Summary!$B$4+1,"yes","")</f>
        <v>yes</v>
      </c>
    </row>
    <row r="209" customFormat="false" ht="15" hidden="false" customHeight="false" outlineLevel="0" collapsed="false">
      <c r="A209" s="24" t="n">
        <f aca="false">INT((ROW()-2)/Summary!$B$8)+1</f>
        <v>1</v>
      </c>
      <c r="B209" s="24" t="n">
        <f aca="false">MOD(ROW()-2,Summary!$B$8)+1</f>
        <v>208</v>
      </c>
      <c r="C209" s="24" t="str">
        <f aca="false">INDEX('Running Order'!$C$2:$C$225,B209)</f>
        <v>HOTEL EXPO 2023 SHORT VIDEO FOR TV</v>
      </c>
      <c r="D209" s="24" t="str">
        <f aca="false">INDEX('Running Order'!$D$2:$D$225,B209)</f>
        <v>Short</v>
      </c>
      <c r="E209" s="5" t="n">
        <f aca="false">IF(INDEX('Running Order'!$B$2:$B$225,B209)="Y",INDEX('Running Order'!$E$2:$E$225,B209),0)</f>
        <v>0.00111111111111111</v>
      </c>
      <c r="F209" s="6" t="n">
        <f aca="false">(A209-1)*Summary!$B$5+INDEX('Running Order'!$F$2:$F$225,B209)</f>
        <v>46296.3311921296</v>
      </c>
      <c r="G209" s="6" t="n">
        <f aca="false">F209+E209</f>
        <v>46296.3323032407</v>
      </c>
      <c r="H209" s="24" t="str">
        <f aca="false">IF(INDEX('Running Order'!$B$2:$B$225,B209)="Y","on air","dropped")</f>
        <v>on air</v>
      </c>
      <c r="I209" s="24" t="str">
        <f aca="false">IF(F209&lt;Summary!$B$4+1,"yes","")</f>
        <v>yes</v>
      </c>
    </row>
    <row r="210" customFormat="false" ht="15" hidden="false" customHeight="false" outlineLevel="0" collapsed="false">
      <c r="A210" s="24" t="n">
        <f aca="false">INT((ROW()-2)/Summary!$B$8)+1</f>
        <v>1</v>
      </c>
      <c r="B210" s="24" t="n">
        <f aca="false">MOD(ROW()-2,Summary!$B$8)+1</f>
        <v>209</v>
      </c>
      <c r="C210" s="24" t="str">
        <f aca="false">INDEX('Running Order'!$C$2:$C$225,B210)</f>
        <v>CHANNEL MONTAGE</v>
      </c>
      <c r="D210" s="24" t="str">
        <f aca="false">INDEX('Running Order'!$D$2:$D$225,B210)</f>
        <v>Montage</v>
      </c>
      <c r="E210" s="5" t="n">
        <f aca="false">IF(INDEX('Running Order'!$B$2:$B$225,B210)="Y",INDEX('Running Order'!$E$2:$E$225,B210),0)</f>
        <v>0.000115740740740741</v>
      </c>
      <c r="F210" s="6" t="n">
        <f aca="false">(A210-1)*Summary!$B$5+INDEX('Running Order'!$F$2:$F$225,B210)</f>
        <v>46296.3323032407</v>
      </c>
      <c r="G210" s="6" t="n">
        <f aca="false">F210+E210</f>
        <v>46296.3324189815</v>
      </c>
      <c r="H210" s="24" t="str">
        <f aca="false">IF(INDEX('Running Order'!$B$2:$B$225,B210)="Y","on air","dropped")</f>
        <v>on air</v>
      </c>
      <c r="I210" s="24" t="str">
        <f aca="false">IF(F210&lt;Summary!$B$4+1,"yes","")</f>
        <v>yes</v>
      </c>
    </row>
    <row r="211" customFormat="false" ht="15" hidden="false" customHeight="false" outlineLevel="0" collapsed="false">
      <c r="A211" s="24" t="n">
        <f aca="false">INT((ROW()-2)/Summary!$B$8)+1</f>
        <v>1</v>
      </c>
      <c r="B211" s="24" t="n">
        <f aca="false">MOD(ROW()-2,Summary!$B$8)+1</f>
        <v>210</v>
      </c>
      <c r="C211" s="24" t="str">
        <f aca="false">INDEX('Running Order'!$C$2:$C$225,B211)</f>
        <v>BAKE THAT CAKE WITH DRIPPLES - S01E03 _ THE LION KING</v>
      </c>
      <c r="D211" s="24" t="str">
        <f aca="false">INDEX('Running Order'!$D$2:$D$225,B211)</f>
        <v>Programme</v>
      </c>
      <c r="E211" s="5" t="n">
        <f aca="false">IF(INDEX('Running Order'!$B$2:$B$225,B211)="Y",INDEX('Running Order'!$E$2:$E$225,B211),0)</f>
        <v>0.0171064814814815</v>
      </c>
      <c r="F211" s="6" t="n">
        <f aca="false">(A211-1)*Summary!$B$5+INDEX('Running Order'!$F$2:$F$225,B211)</f>
        <v>46296.3324189815</v>
      </c>
      <c r="G211" s="6" t="n">
        <f aca="false">F211+E211</f>
        <v>46296.349525463</v>
      </c>
      <c r="H211" s="24" t="str">
        <f aca="false">IF(INDEX('Running Order'!$B$2:$B$225,B211)="Y","on air","dropped")</f>
        <v>on air</v>
      </c>
      <c r="I211" s="24" t="str">
        <f aca="false">IF(F211&lt;Summary!$B$4+1,"yes","")</f>
        <v>yes</v>
      </c>
    </row>
    <row r="212" customFormat="false" ht="15" hidden="false" customHeight="false" outlineLevel="0" collapsed="false">
      <c r="A212" s="24" t="n">
        <f aca="false">INT((ROW()-2)/Summary!$B$8)+1</f>
        <v>1</v>
      </c>
      <c r="B212" s="24" t="n">
        <f aca="false">MOD(ROW()-2,Summary!$B$8)+1</f>
        <v>211</v>
      </c>
      <c r="C212" s="24" t="str">
        <f aca="false">INDEX('Running Order'!$C$2:$C$225,B212)</f>
        <v>T ATTASE TV STING</v>
      </c>
      <c r="D212" s="24" t="str">
        <f aca="false">INDEX('Running Order'!$D$2:$D$225,B212)</f>
        <v>Sting</v>
      </c>
      <c r="E212" s="5" t="n">
        <f aca="false">IF(INDEX('Running Order'!$B$2:$B$225,B212)="Y",INDEX('Running Order'!$E$2:$E$225,B212),0)</f>
        <v>6.94444444444444E-005</v>
      </c>
      <c r="F212" s="6" t="n">
        <f aca="false">(A212-1)*Summary!$B$5+INDEX('Running Order'!$F$2:$F$225,B212)</f>
        <v>46296.349525463</v>
      </c>
      <c r="G212" s="6" t="n">
        <f aca="false">F212+E212</f>
        <v>46296.3495949074</v>
      </c>
      <c r="H212" s="24" t="str">
        <f aca="false">IF(INDEX('Running Order'!$B$2:$B$225,B212)="Y","on air","dropped")</f>
        <v>on air</v>
      </c>
      <c r="I212" s="24" t="str">
        <f aca="false">IF(F212&lt;Summary!$B$4+1,"yes","")</f>
        <v>yes</v>
      </c>
    </row>
    <row r="213" customFormat="false" ht="15" hidden="false" customHeight="false" outlineLevel="0" collapsed="false">
      <c r="A213" s="24" t="n">
        <f aca="false">INT((ROW()-2)/Summary!$B$8)+1</f>
        <v>1</v>
      </c>
      <c r="B213" s="24" t="n">
        <f aca="false">MOD(ROW()-2,Summary!$B$8)+1</f>
        <v>212</v>
      </c>
      <c r="C213" s="24" t="str">
        <f aca="false">INDEX('Running Order'!$C$2:$C$225,B213)</f>
        <v>AJINOMOTO - TOMATO STEW N WHITE RICE</v>
      </c>
      <c r="D213" s="24" t="str">
        <f aca="false">INDEX('Running Order'!$D$2:$D$225,B213)</f>
        <v>Programme</v>
      </c>
      <c r="E213" s="5" t="n">
        <f aca="false">IF(INDEX('Running Order'!$B$2:$B$225,B213)="Y",INDEX('Running Order'!$E$2:$E$225,B213),0)</f>
        <v>0.00346064814814815</v>
      </c>
      <c r="F213" s="6" t="n">
        <f aca="false">(A213-1)*Summary!$B$5+INDEX('Running Order'!$F$2:$F$225,B213)</f>
        <v>46296.3495949074</v>
      </c>
      <c r="G213" s="6" t="n">
        <f aca="false">F213+E213</f>
        <v>46296.3530555556</v>
      </c>
      <c r="H213" s="24" t="str">
        <f aca="false">IF(INDEX('Running Order'!$B$2:$B$225,B213)="Y","on air","dropped")</f>
        <v>on air</v>
      </c>
      <c r="I213" s="24" t="str">
        <f aca="false">IF(F213&lt;Summary!$B$4+1,"yes","")</f>
        <v>yes</v>
      </c>
    </row>
    <row r="214" customFormat="false" ht="15" hidden="false" customHeight="false" outlineLevel="0" collapsed="false">
      <c r="A214" s="24" t="n">
        <f aca="false">INT((ROW()-2)/Summary!$B$8)+1</f>
        <v>1</v>
      </c>
      <c r="B214" s="24" t="n">
        <f aca="false">MOD(ROW()-2,Summary!$B$8)+1</f>
        <v>213</v>
      </c>
      <c r="C214" s="24" t="str">
        <f aca="false">INDEX('Running Order'!$C$2:$C$225,B214)</f>
        <v>SANKOFA NATURAL SPICES PROMO</v>
      </c>
      <c r="D214" s="24" t="str">
        <f aca="false">INDEX('Running Order'!$D$2:$D$225,B214)</f>
        <v>Promo</v>
      </c>
      <c r="E214" s="5" t="n">
        <f aca="false">IF(INDEX('Running Order'!$B$2:$B$225,B214)="Y",INDEX('Running Order'!$E$2:$E$225,B214),0)</f>
        <v>0.000694444444444445</v>
      </c>
      <c r="F214" s="6" t="n">
        <f aca="false">(A214-1)*Summary!$B$5+INDEX('Running Order'!$F$2:$F$225,B214)</f>
        <v>46296.3530555556</v>
      </c>
      <c r="G214" s="6" t="n">
        <f aca="false">F214+E214</f>
        <v>46296.35375</v>
      </c>
      <c r="H214" s="24" t="str">
        <f aca="false">IF(INDEX('Running Order'!$B$2:$B$225,B214)="Y","on air","dropped")</f>
        <v>on air</v>
      </c>
      <c r="I214" s="24" t="str">
        <f aca="false">IF(F214&lt;Summary!$B$4+1,"yes","")</f>
        <v>yes</v>
      </c>
    </row>
    <row r="215" customFormat="false" ht="15" hidden="false" customHeight="false" outlineLevel="0" collapsed="false">
      <c r="A215" s="24" t="n">
        <f aca="false">INT((ROW()-2)/Summary!$B$8)+1</f>
        <v>1</v>
      </c>
      <c r="B215" s="24" t="n">
        <f aca="false">MOD(ROW()-2,Summary!$B$8)+1</f>
        <v>214</v>
      </c>
      <c r="C215" s="24" t="str">
        <f aca="false">INDEX('Running Order'!$C$2:$C$225,B215)</f>
        <v>NASCO IWD</v>
      </c>
      <c r="D215" s="24" t="str">
        <f aca="false">INDEX('Running Order'!$D$2:$D$225,B215)</f>
        <v>Short</v>
      </c>
      <c r="E215" s="5" t="n">
        <f aca="false">IF(INDEX('Running Order'!$B$2:$B$225,B215)="Y",INDEX('Running Order'!$E$2:$E$225,B215),0)</f>
        <v>0.000740740740740741</v>
      </c>
      <c r="F215" s="6" t="n">
        <f aca="false">(A215-1)*Summary!$B$5+INDEX('Running Order'!$F$2:$F$225,B215)</f>
        <v>46296.35375</v>
      </c>
      <c r="G215" s="6" t="n">
        <f aca="false">F215+E215</f>
        <v>46296.3544907407</v>
      </c>
      <c r="H215" s="24" t="str">
        <f aca="false">IF(INDEX('Running Order'!$B$2:$B$225,B215)="Y","on air","dropped")</f>
        <v>on air</v>
      </c>
      <c r="I215" s="24" t="str">
        <f aca="false">IF(F215&lt;Summary!$B$4+1,"yes","")</f>
        <v>yes</v>
      </c>
    </row>
    <row r="216" customFormat="false" ht="15" hidden="false" customHeight="false" outlineLevel="0" collapsed="false">
      <c r="A216" s="24" t="n">
        <f aca="false">INT((ROW()-2)/Summary!$B$8)+1</f>
        <v>1</v>
      </c>
      <c r="B216" s="24" t="n">
        <f aca="false">MOD(ROW()-2,Summary!$B$8)+1</f>
        <v>215</v>
      </c>
      <c r="C216" s="24" t="str">
        <f aca="false">INDEX('Running Order'!$C$2:$C$225,B216)</f>
        <v>TATTASE TV STING</v>
      </c>
      <c r="D216" s="24" t="str">
        <f aca="false">INDEX('Running Order'!$D$2:$D$225,B216)</f>
        <v>Sting</v>
      </c>
      <c r="E216" s="5" t="n">
        <f aca="false">IF(INDEX('Running Order'!$B$2:$B$225,B216)="Y",INDEX('Running Order'!$E$2:$E$225,B216),0)</f>
        <v>6.94444444444444E-005</v>
      </c>
      <c r="F216" s="6" t="n">
        <f aca="false">(A216-1)*Summary!$B$5+INDEX('Running Order'!$F$2:$F$225,B216)</f>
        <v>46296.3544907407</v>
      </c>
      <c r="G216" s="6" t="n">
        <f aca="false">F216+E216</f>
        <v>46296.3545601852</v>
      </c>
      <c r="H216" s="24" t="str">
        <f aca="false">IF(INDEX('Running Order'!$B$2:$B$225,B216)="Y","on air","dropped")</f>
        <v>on air</v>
      </c>
      <c r="I216" s="24" t="str">
        <f aca="false">IF(F216&lt;Summary!$B$4+1,"yes","")</f>
        <v>yes</v>
      </c>
    </row>
    <row r="217" customFormat="false" ht="15" hidden="false" customHeight="false" outlineLevel="0" collapsed="false">
      <c r="A217" s="24" t="n">
        <f aca="false">INT((ROW()-2)/Summary!$B$8)+1</f>
        <v>1</v>
      </c>
      <c r="B217" s="24" t="n">
        <f aca="false">MOD(ROW()-2,Summary!$B$8)+1</f>
        <v>216</v>
      </c>
      <c r="C217" s="24" t="str">
        <f aca="false">INDEX('Running Order'!$C$2:$C$225,B217)</f>
        <v>Kings Dorm Season 2 Episode 1</v>
      </c>
      <c r="D217" s="24" t="str">
        <f aca="false">INDEX('Running Order'!$D$2:$D$225,B217)</f>
        <v>Programme</v>
      </c>
      <c r="E217" s="5" t="n">
        <f aca="false">IF(INDEX('Running Order'!$B$2:$B$225,B217)="Y",INDEX('Running Order'!$E$2:$E$225,B217),0)</f>
        <v>0.0208333333333333</v>
      </c>
      <c r="F217" s="6" t="n">
        <f aca="false">(A217-1)*Summary!$B$5+INDEX('Running Order'!$F$2:$F$225,B217)</f>
        <v>46296.3545601852</v>
      </c>
      <c r="G217" s="6" t="n">
        <f aca="false">F217+E217</f>
        <v>46296.3753935185</v>
      </c>
      <c r="H217" s="24" t="str">
        <f aca="false">IF(INDEX('Running Order'!$B$2:$B$225,B217)="Y","on air","dropped")</f>
        <v>on air</v>
      </c>
      <c r="I217" s="24" t="str">
        <f aca="false">IF(F217&lt;Summary!$B$4+1,"yes","")</f>
        <v>yes</v>
      </c>
    </row>
    <row r="218" customFormat="false" ht="15" hidden="false" customHeight="false" outlineLevel="0" collapsed="false">
      <c r="A218" s="24" t="n">
        <f aca="false">INT((ROW()-2)/Summary!$B$8)+1</f>
        <v>1</v>
      </c>
      <c r="B218" s="24" t="n">
        <f aca="false">MOD(ROW()-2,Summary!$B$8)+1</f>
        <v>217</v>
      </c>
      <c r="C218" s="24" t="str">
        <f aca="false">INDEX('Running Order'!$C$2:$C$225,B218)</f>
        <v>TATTASE TV STING</v>
      </c>
      <c r="D218" s="24" t="str">
        <f aca="false">INDEX('Running Order'!$D$2:$D$225,B218)</f>
        <v>Sting</v>
      </c>
      <c r="E218" s="5" t="n">
        <f aca="false">IF(INDEX('Running Order'!$B$2:$B$225,B218)="Y",INDEX('Running Order'!$E$2:$E$225,B218),0)</f>
        <v>6.94444444444444E-005</v>
      </c>
      <c r="F218" s="6" t="n">
        <f aca="false">(A218-1)*Summary!$B$5+INDEX('Running Order'!$F$2:$F$225,B218)</f>
        <v>46296.3753935185</v>
      </c>
      <c r="G218" s="6" t="n">
        <f aca="false">F218+E218</f>
        <v>46296.375462963</v>
      </c>
      <c r="H218" s="24" t="str">
        <f aca="false">IF(INDEX('Running Order'!$B$2:$B$225,B218)="Y","on air","dropped")</f>
        <v>on air</v>
      </c>
      <c r="I218" s="24" t="str">
        <f aca="false">IF(F218&lt;Summary!$B$4+1,"yes","")</f>
        <v>yes</v>
      </c>
    </row>
    <row r="219" customFormat="false" ht="15" hidden="false" customHeight="false" outlineLevel="0" collapsed="false">
      <c r="A219" s="24" t="n">
        <f aca="false">INT((ROW()-2)/Summary!$B$8)+1</f>
        <v>1</v>
      </c>
      <c r="B219" s="24" t="n">
        <f aca="false">MOD(ROW()-2,Summary!$B$8)+1</f>
        <v>218</v>
      </c>
      <c r="C219" s="24" t="str">
        <f aca="false">INDEX('Running Order'!$C$2:$C$225,B219)</f>
        <v>SPAGHETTI QUICHE (Longer Version)</v>
      </c>
      <c r="D219" s="24" t="str">
        <f aca="false">INDEX('Running Order'!$D$2:$D$225,B219)</f>
        <v>Short</v>
      </c>
      <c r="E219" s="5" t="n">
        <f aca="false">IF(INDEX('Running Order'!$B$2:$B$225,B219)="Y",INDEX('Running Order'!$E$2:$E$225,B219),0)</f>
        <v>0.00190972222222222</v>
      </c>
      <c r="F219" s="6" t="n">
        <f aca="false">(A219-1)*Summary!$B$5+INDEX('Running Order'!$F$2:$F$225,B219)</f>
        <v>46296.375462963</v>
      </c>
      <c r="G219" s="6" t="n">
        <f aca="false">F219+E219</f>
        <v>46296.3773726852</v>
      </c>
      <c r="H219" s="24" t="str">
        <f aca="false">IF(INDEX('Running Order'!$B$2:$B$225,B219)="Y","on air","dropped")</f>
        <v>on air</v>
      </c>
      <c r="I219" s="24" t="str">
        <f aca="false">IF(F219&lt;Summary!$B$4+1,"yes","")</f>
        <v>yes</v>
      </c>
    </row>
    <row r="220" customFormat="false" ht="15" hidden="false" customHeight="false" outlineLevel="0" collapsed="false">
      <c r="A220" s="24" t="n">
        <f aca="false">INT((ROW()-2)/Summary!$B$8)+1</f>
        <v>1</v>
      </c>
      <c r="B220" s="24" t="n">
        <f aca="false">MOD(ROW()-2,Summary!$B$8)+1</f>
        <v>219</v>
      </c>
      <c r="C220" s="24" t="str">
        <f aca="false">INDEX('Running Order'!$C$2:$C$225,B220)</f>
        <v>Look What Naa Made With NutriDay Episode 3</v>
      </c>
      <c r="D220" s="24" t="str">
        <f aca="false">INDEX('Running Order'!$D$2:$D$225,B220)</f>
        <v>Short</v>
      </c>
      <c r="E220" s="5" t="n">
        <f aca="false">IF(INDEX('Running Order'!$B$2:$B$225,B220)="Y",INDEX('Running Order'!$E$2:$E$225,B220),0)</f>
        <v>0.00121527777777778</v>
      </c>
      <c r="F220" s="6" t="n">
        <f aca="false">(A220-1)*Summary!$B$5+INDEX('Running Order'!$F$2:$F$225,B220)</f>
        <v>46296.3773726852</v>
      </c>
      <c r="G220" s="6" t="n">
        <f aca="false">F220+E220</f>
        <v>46296.378587963</v>
      </c>
      <c r="H220" s="24" t="str">
        <f aca="false">IF(INDEX('Running Order'!$B$2:$B$225,B220)="Y","on air","dropped")</f>
        <v>on air</v>
      </c>
      <c r="I220" s="24" t="str">
        <f aca="false">IF(F220&lt;Summary!$B$4+1,"yes","")</f>
        <v>yes</v>
      </c>
    </row>
    <row r="221" customFormat="false" ht="15" hidden="false" customHeight="false" outlineLevel="0" collapsed="false">
      <c r="A221" s="24" t="n">
        <f aca="false">INT((ROW()-2)/Summary!$B$8)+1</f>
        <v>1</v>
      </c>
      <c r="B221" s="24" t="n">
        <f aca="false">MOD(ROW()-2,Summary!$B$8)+1</f>
        <v>220</v>
      </c>
      <c r="C221" s="24" t="str">
        <f aca="false">INDEX('Running Order'!$C$2:$C$225,B221)</f>
        <v>CHANNEL MONTAGE</v>
      </c>
      <c r="D221" s="24" t="str">
        <f aca="false">INDEX('Running Order'!$D$2:$D$225,B221)</f>
        <v>Montage</v>
      </c>
      <c r="E221" s="5" t="n">
        <f aca="false">IF(INDEX('Running Order'!$B$2:$B$225,B221)="Y",INDEX('Running Order'!$E$2:$E$225,B221),0)</f>
        <v>0.000115740740740741</v>
      </c>
      <c r="F221" s="6" t="n">
        <f aca="false">(A221-1)*Summary!$B$5+INDEX('Running Order'!$F$2:$F$225,B221)</f>
        <v>46296.378587963</v>
      </c>
      <c r="G221" s="6" t="n">
        <f aca="false">F221+E221</f>
        <v>46296.3787037037</v>
      </c>
      <c r="H221" s="24" t="str">
        <f aca="false">IF(INDEX('Running Order'!$B$2:$B$225,B221)="Y","on air","dropped")</f>
        <v>on air</v>
      </c>
      <c r="I221" s="24" t="str">
        <f aca="false">IF(F221&lt;Summary!$B$4+1,"yes","")</f>
        <v>yes</v>
      </c>
    </row>
    <row r="222" customFormat="false" ht="15" hidden="false" customHeight="false" outlineLevel="0" collapsed="false">
      <c r="A222" s="24" t="n">
        <f aca="false">INT((ROW()-2)/Summary!$B$8)+1</f>
        <v>1</v>
      </c>
      <c r="B222" s="24" t="n">
        <f aca="false">MOD(ROW()-2,Summary!$B$8)+1</f>
        <v>221</v>
      </c>
      <c r="C222" s="24" t="str">
        <f aca="false">INDEX('Running Order'!$C$2:$C$225,B222)</f>
        <v>How I Started My Make-up Brand - Giylah Sanda.</v>
      </c>
      <c r="D222" s="24" t="str">
        <f aca="false">INDEX('Running Order'!$D$2:$D$225,B222)</f>
        <v>Programme</v>
      </c>
      <c r="E222" s="5" t="n">
        <f aca="false">IF(INDEX('Running Order'!$B$2:$B$225,B222)="Y",INDEX('Running Order'!$E$2:$E$225,B222),0)</f>
        <v>0.00625</v>
      </c>
      <c r="F222" s="6" t="n">
        <f aca="false">(A222-1)*Summary!$B$5+INDEX('Running Order'!$F$2:$F$225,B222)</f>
        <v>46296.3787037037</v>
      </c>
      <c r="G222" s="6" t="n">
        <f aca="false">F222+E222</f>
        <v>46296.3849537037</v>
      </c>
      <c r="H222" s="24" t="str">
        <f aca="false">IF(INDEX('Running Order'!$B$2:$B$225,B222)="Y","on air","dropped")</f>
        <v>on air</v>
      </c>
      <c r="I222" s="24" t="str">
        <f aca="false">IF(F222&lt;Summary!$B$4+1,"yes","")</f>
        <v>yes</v>
      </c>
    </row>
    <row r="223" customFormat="false" ht="15" hidden="false" customHeight="false" outlineLevel="0" collapsed="false">
      <c r="A223" s="24" t="n">
        <f aca="false">INT((ROW()-2)/Summary!$B$8)+1</f>
        <v>1</v>
      </c>
      <c r="B223" s="24" t="n">
        <f aca="false">MOD(ROW()-2,Summary!$B$8)+1</f>
        <v>222</v>
      </c>
      <c r="C223" s="24" t="str">
        <f aca="false">INDEX('Running Order'!$C$2:$C$225,B223)</f>
        <v>Chu Nwakanmas Journey To Greatness</v>
      </c>
      <c r="D223" s="24" t="str">
        <f aca="false">INDEX('Running Order'!$D$2:$D$225,B223)</f>
        <v>Short</v>
      </c>
      <c r="E223" s="5" t="n">
        <f aca="false">IF(INDEX('Running Order'!$B$2:$B$225,B223)="Y",INDEX('Running Order'!$E$2:$E$225,B223),0)</f>
        <v>0.00144675925925926</v>
      </c>
      <c r="F223" s="6" t="n">
        <f aca="false">(A223-1)*Summary!$B$5+INDEX('Running Order'!$F$2:$F$225,B223)</f>
        <v>46296.3849537037</v>
      </c>
      <c r="G223" s="6" t="n">
        <f aca="false">F223+E223</f>
        <v>46296.386400463</v>
      </c>
      <c r="H223" s="24" t="str">
        <f aca="false">IF(INDEX('Running Order'!$B$2:$B$225,B223)="Y","on air","dropped")</f>
        <v>on air</v>
      </c>
      <c r="I223" s="24" t="str">
        <f aca="false">IF(F223&lt;Summary!$B$4+1,"yes","")</f>
        <v>yes</v>
      </c>
    </row>
    <row r="224" customFormat="false" ht="15" hidden="false" customHeight="false" outlineLevel="0" collapsed="false">
      <c r="A224" s="24" t="n">
        <f aca="false">INT((ROW()-2)/Summary!$B$8)+1</f>
        <v>1</v>
      </c>
      <c r="B224" s="24" t="n">
        <f aca="false">MOD(ROW()-2,Summary!$B$8)+1</f>
        <v>223</v>
      </c>
      <c r="C224" s="24" t="str">
        <f aca="false">INDEX('Running Order'!$C$2:$C$225,B224)</f>
        <v>CELEB SHOUTOUT</v>
      </c>
      <c r="D224" s="24" t="str">
        <f aca="false">INDEX('Running Order'!$D$2:$D$225,B224)</f>
        <v>Short</v>
      </c>
      <c r="E224" s="5" t="n">
        <f aca="false">IF(INDEX('Running Order'!$B$2:$B$225,B224)="Y",INDEX('Running Order'!$E$2:$E$225,B224),0)</f>
        <v>0.00087962962962963</v>
      </c>
      <c r="F224" s="6" t="n">
        <f aca="false">(A224-1)*Summary!$B$5+INDEX('Running Order'!$F$2:$F$225,B224)</f>
        <v>46296.386400463</v>
      </c>
      <c r="G224" s="6" t="n">
        <f aca="false">F224+E224</f>
        <v>46296.3872800926</v>
      </c>
      <c r="H224" s="24" t="str">
        <f aca="false">IF(INDEX('Running Order'!$B$2:$B$225,B224)="Y","on air","dropped")</f>
        <v>on air</v>
      </c>
      <c r="I224" s="24" t="str">
        <f aca="false">IF(F224&lt;Summary!$B$4+1,"yes","")</f>
        <v>yes</v>
      </c>
    </row>
    <row r="225" customFormat="false" ht="15" hidden="false" customHeight="false" outlineLevel="0" collapsed="false">
      <c r="A225" s="24" t="n">
        <f aca="false">INT((ROW()-2)/Summary!$B$8)+1</f>
        <v>1</v>
      </c>
      <c r="B225" s="24" t="n">
        <f aca="false">MOD(ROW()-2,Summary!$B$8)+1</f>
        <v>224</v>
      </c>
      <c r="C225" s="24" t="str">
        <f aca="false">INDEX('Running Order'!$C$2:$C$225,B225)</f>
        <v>CHANNEL MONTAGE</v>
      </c>
      <c r="D225" s="24" t="str">
        <f aca="false">INDEX('Running Order'!$D$2:$D$225,B225)</f>
        <v>Montage</v>
      </c>
      <c r="E225" s="5" t="n">
        <f aca="false">IF(INDEX('Running Order'!$B$2:$B$225,B225)="Y",INDEX('Running Order'!$E$2:$E$225,B225),0)</f>
        <v>0.000115740740740741</v>
      </c>
      <c r="F225" s="6" t="n">
        <f aca="false">(A225-1)*Summary!$B$5+INDEX('Running Order'!$F$2:$F$225,B225)</f>
        <v>46296.3872800926</v>
      </c>
      <c r="G225" s="6" t="n">
        <f aca="false">F225+E225</f>
        <v>46296.3873958333</v>
      </c>
      <c r="H225" s="24" t="str">
        <f aca="false">IF(INDEX('Running Order'!$B$2:$B$225,B225)="Y","on air","dropped")</f>
        <v>on air</v>
      </c>
      <c r="I225" s="24" t="str">
        <f aca="false">IF(F225&lt;Summary!$B$4+1,"yes","")</f>
        <v>yes</v>
      </c>
    </row>
    <row r="226" customFormat="false" ht="15" hidden="false" customHeight="false" outlineLevel="0" collapsed="false">
      <c r="A226" s="24" t="n">
        <f aca="false">INT((ROW()-2)/Summary!$B$8)+1</f>
        <v>2</v>
      </c>
      <c r="B226" s="24" t="n">
        <f aca="false">MOD(ROW()-2,Summary!$B$8)+1</f>
        <v>1</v>
      </c>
      <c r="C226" s="24" t="str">
        <f aca="false">INDEX('Running Order'!$C$2:$C$225,B226)</f>
        <v>ORIGINAL SHOWS UPDATED</v>
      </c>
      <c r="D226" s="24" t="str">
        <f aca="false">INDEX('Running Order'!$D$2:$D$225,B226)</f>
        <v>Programme</v>
      </c>
      <c r="E226" s="5" t="n">
        <f aca="false">IF(INDEX('Running Order'!$B$2:$B$225,B226)="Y",INDEX('Running Order'!$E$2:$E$225,B226),0)</f>
        <v>0.00296296296296296</v>
      </c>
      <c r="F226" s="6" t="n">
        <f aca="false">(A226-1)*Summary!$B$5+INDEX('Running Order'!$F$2:$F$225,B226)</f>
        <v>46296.3873958333</v>
      </c>
      <c r="G226" s="6" t="n">
        <f aca="false">F226+E226</f>
        <v>46296.3903587963</v>
      </c>
      <c r="H226" s="24" t="str">
        <f aca="false">IF(INDEX('Running Order'!$B$2:$B$225,B226)="Y","on air","dropped")</f>
        <v>on air</v>
      </c>
      <c r="I226" s="24" t="str">
        <f aca="false">IF(F226&lt;Summary!$B$4+1,"yes","")</f>
        <v>yes</v>
      </c>
    </row>
    <row r="227" customFormat="false" ht="15" hidden="false" customHeight="false" outlineLevel="0" collapsed="false">
      <c r="A227" s="24" t="n">
        <f aca="false">INT((ROW()-2)/Summary!$B$8)+1</f>
        <v>2</v>
      </c>
      <c r="B227" s="24" t="n">
        <f aca="false">MOD(ROW()-2,Summary!$B$8)+1</f>
        <v>2</v>
      </c>
      <c r="C227" s="24" t="str">
        <f aca="false">INDEX('Running Order'!$C$2:$C$225,B227)</f>
        <v>KIVO HOT PEPPER COMMERCIAL</v>
      </c>
      <c r="D227" s="24" t="str">
        <f aca="false">INDEX('Running Order'!$D$2:$D$225,B227)</f>
        <v>Commercial</v>
      </c>
      <c r="E227" s="5" t="n">
        <f aca="false">IF(INDEX('Running Order'!$B$2:$B$225,B227)="Y",INDEX('Running Order'!$E$2:$E$225,B227),0)</f>
        <v>0.000520833333333333</v>
      </c>
      <c r="F227" s="6" t="n">
        <f aca="false">(A227-1)*Summary!$B$5+INDEX('Running Order'!$F$2:$F$225,B227)</f>
        <v>46296.3903587963</v>
      </c>
      <c r="G227" s="6" t="n">
        <f aca="false">F227+E227</f>
        <v>46296.3908796296</v>
      </c>
      <c r="H227" s="24" t="str">
        <f aca="false">IF(INDEX('Running Order'!$B$2:$B$225,B227)="Y","on air","dropped")</f>
        <v>on air</v>
      </c>
      <c r="I227" s="24" t="str">
        <f aca="false">IF(F227&lt;Summary!$B$4+1,"yes","")</f>
        <v>yes</v>
      </c>
    </row>
    <row r="228" customFormat="false" ht="15" hidden="false" customHeight="false" outlineLevel="0" collapsed="false">
      <c r="A228" s="24" t="n">
        <f aca="false">INT((ROW()-2)/Summary!$B$8)+1</f>
        <v>2</v>
      </c>
      <c r="B228" s="24" t="n">
        <f aca="false">MOD(ROW()-2,Summary!$B$8)+1</f>
        <v>3</v>
      </c>
      <c r="C228" s="24" t="str">
        <f aca="false">INDEX('Running Order'!$C$2:$C$225,B228)</f>
        <v>COLGATE TOOTHPASTE</v>
      </c>
      <c r="D228" s="24" t="str">
        <f aca="false">INDEX('Running Order'!$D$2:$D$225,B228)</f>
        <v>Commercial</v>
      </c>
      <c r="E228" s="5" t="n">
        <f aca="false">IF(INDEX('Running Order'!$B$2:$B$225,B228)="Y",INDEX('Running Order'!$E$2:$E$225,B228),0)</f>
        <v>0.000347222222222222</v>
      </c>
      <c r="F228" s="6" t="n">
        <f aca="false">(A228-1)*Summary!$B$5+INDEX('Running Order'!$F$2:$F$225,B228)</f>
        <v>46296.3908796296</v>
      </c>
      <c r="G228" s="6" t="n">
        <f aca="false">F228+E228</f>
        <v>46296.3912268519</v>
      </c>
      <c r="H228" s="24" t="str">
        <f aca="false">IF(INDEX('Running Order'!$B$2:$B$225,B228)="Y","on air","dropped")</f>
        <v>on air</v>
      </c>
      <c r="I228" s="24" t="str">
        <f aca="false">IF(F228&lt;Summary!$B$4+1,"yes","")</f>
        <v>yes</v>
      </c>
    </row>
    <row r="229" customFormat="false" ht="15" hidden="false" customHeight="false" outlineLevel="0" collapsed="false">
      <c r="A229" s="24" t="n">
        <f aca="false">INT((ROW()-2)/Summary!$B$8)+1</f>
        <v>2</v>
      </c>
      <c r="B229" s="24" t="n">
        <f aca="false">MOD(ROW()-2,Summary!$B$8)+1</f>
        <v>4</v>
      </c>
      <c r="C229" s="24" t="str">
        <f aca="false">INDEX('Running Order'!$C$2:$C$225,B229)</f>
        <v>CHANNEL MONTAGE</v>
      </c>
      <c r="D229" s="24" t="str">
        <f aca="false">INDEX('Running Order'!$D$2:$D$225,B229)</f>
        <v>Montage</v>
      </c>
      <c r="E229" s="5" t="n">
        <f aca="false">IF(INDEX('Running Order'!$B$2:$B$225,B229)="Y",INDEX('Running Order'!$E$2:$E$225,B229),0)</f>
        <v>0.000115740740740741</v>
      </c>
      <c r="F229" s="6" t="n">
        <f aca="false">(A229-1)*Summary!$B$5+INDEX('Running Order'!$F$2:$F$225,B229)</f>
        <v>46296.3912268519</v>
      </c>
      <c r="G229" s="6" t="n">
        <f aca="false">F229+E229</f>
        <v>46296.3913425926</v>
      </c>
      <c r="H229" s="24" t="str">
        <f aca="false">IF(INDEX('Running Order'!$B$2:$B$225,B229)="Y","on air","dropped")</f>
        <v>on air</v>
      </c>
      <c r="I229" s="24" t="str">
        <f aca="false">IF(F229&lt;Summary!$B$4+1,"yes","")</f>
        <v>yes</v>
      </c>
    </row>
    <row r="230" customFormat="false" ht="15" hidden="false" customHeight="false" outlineLevel="0" collapsed="false">
      <c r="A230" s="24" t="n">
        <f aca="false">INT((ROW()-2)/Summary!$B$8)+1</f>
        <v>2</v>
      </c>
      <c r="B230" s="24" t="n">
        <f aca="false">MOD(ROW()-2,Summary!$B$8)+1</f>
        <v>5</v>
      </c>
      <c r="C230" s="24" t="str">
        <f aca="false">INDEX('Running Order'!$C$2:$C$225,B230)</f>
        <v>SIX DELICIOUS STEPS OF ENJOYING A PLATE OF INDOMIE</v>
      </c>
      <c r="D230" s="24" t="str">
        <f aca="false">INDEX('Running Order'!$D$2:$D$225,B230)</f>
        <v>Short</v>
      </c>
      <c r="E230" s="5" t="n">
        <f aca="false">IF(INDEX('Running Order'!$B$2:$B$225,B230)="Y",INDEX('Running Order'!$E$2:$E$225,B230),0)</f>
        <v>0.00068287037037037</v>
      </c>
      <c r="F230" s="6" t="n">
        <f aca="false">(A230-1)*Summary!$B$5+INDEX('Running Order'!$F$2:$F$225,B230)</f>
        <v>46296.3913425926</v>
      </c>
      <c r="G230" s="6" t="n">
        <f aca="false">F230+E230</f>
        <v>46296.392025463</v>
      </c>
      <c r="H230" s="24" t="str">
        <f aca="false">IF(INDEX('Running Order'!$B$2:$B$225,B230)="Y","on air","dropped")</f>
        <v>on air</v>
      </c>
      <c r="I230" s="24" t="str">
        <f aca="false">IF(F230&lt;Summary!$B$4+1,"yes","")</f>
        <v>yes</v>
      </c>
    </row>
    <row r="231" customFormat="false" ht="15" hidden="false" customHeight="false" outlineLevel="0" collapsed="false">
      <c r="A231" s="24" t="n">
        <f aca="false">INT((ROW()-2)/Summary!$B$8)+1</f>
        <v>2</v>
      </c>
      <c r="B231" s="24" t="n">
        <f aca="false">MOD(ROW()-2,Summary!$B$8)+1</f>
        <v>6</v>
      </c>
      <c r="C231" s="24" t="str">
        <f aca="false">INDEX('Running Order'!$C$2:$C$225,B231)</f>
        <v>GREEN FIELD AFRICA`COMING SOON</v>
      </c>
      <c r="D231" s="24" t="str">
        <f aca="false">INDEX('Running Order'!$D$2:$D$225,B231)</f>
        <v>Promo</v>
      </c>
      <c r="E231" s="5" t="n">
        <f aca="false">IF(INDEX('Running Order'!$B$2:$B$225,B231)="Y",INDEX('Running Order'!$E$2:$E$225,B231),0)</f>
        <v>0.000393518518518519</v>
      </c>
      <c r="F231" s="6" t="n">
        <f aca="false">(A231-1)*Summary!$B$5+INDEX('Running Order'!$F$2:$F$225,B231)</f>
        <v>46296.392025463</v>
      </c>
      <c r="G231" s="6" t="n">
        <f aca="false">F231+E231</f>
        <v>46296.3924189815</v>
      </c>
      <c r="H231" s="24" t="str">
        <f aca="false">IF(INDEX('Running Order'!$B$2:$B$225,B231)="Y","on air","dropped")</f>
        <v>on air</v>
      </c>
      <c r="I231" s="24" t="str">
        <f aca="false">IF(F231&lt;Summary!$B$4+1,"yes","")</f>
        <v>yes</v>
      </c>
    </row>
    <row r="232" customFormat="false" ht="15" hidden="false" customHeight="false" outlineLevel="0" collapsed="false">
      <c r="A232" s="24" t="n">
        <f aca="false">INT((ROW()-2)/Summary!$B$8)+1</f>
        <v>2</v>
      </c>
      <c r="B232" s="24" t="n">
        <f aca="false">MOD(ROW()-2,Summary!$B$8)+1</f>
        <v>7</v>
      </c>
      <c r="C232" s="24" t="str">
        <f aca="false">INDEX('Running Order'!$C$2:$C$225,B232)</f>
        <v>ADESUA AND VIVA</v>
      </c>
      <c r="D232" s="24" t="str">
        <f aca="false">INDEX('Running Order'!$D$2:$D$225,B232)</f>
        <v>Commercial</v>
      </c>
      <c r="E232" s="5" t="n">
        <f aca="false">IF(INDEX('Running Order'!$B$2:$B$225,B232)="Y",INDEX('Running Order'!$E$2:$E$225,B232),0)</f>
        <v>0.00114583333333333</v>
      </c>
      <c r="F232" s="6" t="n">
        <f aca="false">(A232-1)*Summary!$B$5+INDEX('Running Order'!$F$2:$F$225,B232)</f>
        <v>46296.3924189815</v>
      </c>
      <c r="G232" s="6" t="n">
        <f aca="false">F232+E232</f>
        <v>46296.3935648148</v>
      </c>
      <c r="H232" s="24" t="str">
        <f aca="false">IF(INDEX('Running Order'!$B$2:$B$225,B232)="Y","on air","dropped")</f>
        <v>on air</v>
      </c>
      <c r="I232" s="24" t="str">
        <f aca="false">IF(F232&lt;Summary!$B$4+1,"yes","")</f>
        <v>yes</v>
      </c>
    </row>
    <row r="233" customFormat="false" ht="15" hidden="false" customHeight="false" outlineLevel="0" collapsed="false">
      <c r="A233" s="24" t="n">
        <f aca="false">INT((ROW()-2)/Summary!$B$8)+1</f>
        <v>2</v>
      </c>
      <c r="B233" s="24" t="n">
        <f aca="false">MOD(ROW()-2,Summary!$B$8)+1</f>
        <v>8</v>
      </c>
      <c r="C233" s="24" t="str">
        <f aca="false">INDEX('Running Order'!$C$2:$C$225,B233)</f>
        <v>TATTASE TV COFFEE STING</v>
      </c>
      <c r="D233" s="24" t="str">
        <f aca="false">INDEX('Running Order'!$D$2:$D$225,B233)</f>
        <v>Sting</v>
      </c>
      <c r="E233" s="5" t="n">
        <f aca="false">IF(INDEX('Running Order'!$B$2:$B$225,B233)="Y",INDEX('Running Order'!$E$2:$E$225,B233),0)</f>
        <v>9.25925925925926E-005</v>
      </c>
      <c r="F233" s="6" t="n">
        <f aca="false">(A233-1)*Summary!$B$5+INDEX('Running Order'!$F$2:$F$225,B233)</f>
        <v>46296.3935648148</v>
      </c>
      <c r="G233" s="6" t="n">
        <f aca="false">F233+E233</f>
        <v>46296.3936574074</v>
      </c>
      <c r="H233" s="24" t="str">
        <f aca="false">IF(INDEX('Running Order'!$B$2:$B$225,B233)="Y","on air","dropped")</f>
        <v>on air</v>
      </c>
      <c r="I233" s="24" t="str">
        <f aca="false">IF(F233&lt;Summary!$B$4+1,"yes","")</f>
        <v>yes</v>
      </c>
    </row>
    <row r="234" customFormat="false" ht="15" hidden="false" customHeight="false" outlineLevel="0" collapsed="false">
      <c r="A234" s="24" t="n">
        <f aca="false">INT((ROW()-2)/Summary!$B$8)+1</f>
        <v>2</v>
      </c>
      <c r="B234" s="24" t="n">
        <f aca="false">MOD(ROW()-2,Summary!$B$8)+1</f>
        <v>9</v>
      </c>
      <c r="C234" s="24" t="str">
        <f aca="false">INDEX('Running Order'!$C$2:$C$225,B234)</f>
        <v>TASTE OF GHANA</v>
      </c>
      <c r="D234" s="24" t="str">
        <f aca="false">INDEX('Running Order'!$D$2:$D$225,B234)</f>
        <v>Short</v>
      </c>
      <c r="E234" s="5" t="n">
        <f aca="false">IF(INDEX('Running Order'!$B$2:$B$225,B234)="Y",INDEX('Running Order'!$E$2:$E$225,B234),0)</f>
        <v>0.000300925925925926</v>
      </c>
      <c r="F234" s="6" t="n">
        <f aca="false">(A234-1)*Summary!$B$5+INDEX('Running Order'!$F$2:$F$225,B234)</f>
        <v>46296.3936574074</v>
      </c>
      <c r="G234" s="6" t="n">
        <f aca="false">F234+E234</f>
        <v>46296.3939583333</v>
      </c>
      <c r="H234" s="24" t="str">
        <f aca="false">IF(INDEX('Running Order'!$B$2:$B$225,B234)="Y","on air","dropped")</f>
        <v>on air</v>
      </c>
      <c r="I234" s="24" t="str">
        <f aca="false">IF(F234&lt;Summary!$B$4+1,"yes","")</f>
        <v>yes</v>
      </c>
    </row>
    <row r="235" customFormat="false" ht="15" hidden="false" customHeight="false" outlineLevel="0" collapsed="false">
      <c r="A235" s="24" t="n">
        <f aca="false">INT((ROW()-2)/Summary!$B$8)+1</f>
        <v>2</v>
      </c>
      <c r="B235" s="24" t="n">
        <f aca="false">MOD(ROW()-2,Summary!$B$8)+1</f>
        <v>10</v>
      </c>
      <c r="C235" s="24" t="str">
        <f aca="false">INDEX('Running Order'!$C$2:$C$225,B235)</f>
        <v>BUKAS AND JOINT</v>
      </c>
      <c r="D235" s="24" t="str">
        <f aca="false">INDEX('Running Order'!$D$2:$D$225,B235)</f>
        <v>Short</v>
      </c>
      <c r="E235" s="5" t="n">
        <f aca="false">IF(INDEX('Running Order'!$B$2:$B$225,B235)="Y",INDEX('Running Order'!$E$2:$E$225,B235),0)</f>
        <v>0.00146990740740741</v>
      </c>
      <c r="F235" s="6" t="n">
        <f aca="false">(A235-1)*Summary!$B$5+INDEX('Running Order'!$F$2:$F$225,B235)</f>
        <v>46296.3939583333</v>
      </c>
      <c r="G235" s="6" t="n">
        <f aca="false">F235+E235</f>
        <v>46296.3954282407</v>
      </c>
      <c r="H235" s="24" t="str">
        <f aca="false">IF(INDEX('Running Order'!$B$2:$B$225,B235)="Y","on air","dropped")</f>
        <v>on air</v>
      </c>
      <c r="I235" s="24" t="str">
        <f aca="false">IF(F235&lt;Summary!$B$4+1,"yes","")</f>
        <v>yes</v>
      </c>
    </row>
    <row r="236" customFormat="false" ht="15" hidden="false" customHeight="false" outlineLevel="0" collapsed="false">
      <c r="A236" s="24" t="n">
        <f aca="false">INT((ROW()-2)/Summary!$B$8)+1</f>
        <v>2</v>
      </c>
      <c r="B236" s="24" t="n">
        <f aca="false">MOD(ROW()-2,Summary!$B$8)+1</f>
        <v>11</v>
      </c>
      <c r="C236" s="24" t="str">
        <f aca="false">INDEX('Running Order'!$C$2:$C$225,B236)</f>
        <v>Tattasetv sting</v>
      </c>
      <c r="D236" s="24" t="str">
        <f aca="false">INDEX('Running Order'!$D$2:$D$225,B236)</f>
        <v>Sting</v>
      </c>
      <c r="E236" s="5" t="n">
        <f aca="false">IF(INDEX('Running Order'!$B$2:$B$225,B236)="Y",INDEX('Running Order'!$E$2:$E$225,B236),0)</f>
        <v>6.94444444444444E-005</v>
      </c>
      <c r="F236" s="6" t="n">
        <f aca="false">(A236-1)*Summary!$B$5+INDEX('Running Order'!$F$2:$F$225,B236)</f>
        <v>46296.3954282407</v>
      </c>
      <c r="G236" s="6" t="n">
        <f aca="false">F236+E236</f>
        <v>46296.3954976852</v>
      </c>
      <c r="H236" s="24" t="str">
        <f aca="false">IF(INDEX('Running Order'!$B$2:$B$225,B236)="Y","on air","dropped")</f>
        <v>on air</v>
      </c>
      <c r="I236" s="24" t="str">
        <f aca="false">IF(F236&lt;Summary!$B$4+1,"yes","")</f>
        <v>yes</v>
      </c>
    </row>
    <row r="237" customFormat="false" ht="15" hidden="false" customHeight="false" outlineLevel="0" collapsed="false">
      <c r="A237" s="24" t="n">
        <f aca="false">INT((ROW()-2)/Summary!$B$8)+1</f>
        <v>2</v>
      </c>
      <c r="B237" s="24" t="n">
        <f aca="false">MOD(ROW()-2,Summary!$B$8)+1</f>
        <v>12</v>
      </c>
      <c r="C237" s="24" t="str">
        <f aca="false">INDEX('Running Order'!$C$2:$C$225,B237)</f>
        <v>10 FOODS TO CUT DOWN ON FOR A HEALTHY WEIGHT</v>
      </c>
      <c r="D237" s="24" t="str">
        <f aca="false">INDEX('Running Order'!$D$2:$D$225,B237)</f>
        <v>Programme</v>
      </c>
      <c r="E237" s="5" t="n">
        <f aca="false">IF(INDEX('Running Order'!$B$2:$B$225,B237)="Y",INDEX('Running Order'!$E$2:$E$225,B237),0)</f>
        <v>0.0162615740740741</v>
      </c>
      <c r="F237" s="6" t="n">
        <f aca="false">(A237-1)*Summary!$B$5+INDEX('Running Order'!$F$2:$F$225,B237)</f>
        <v>46296.3954976852</v>
      </c>
      <c r="G237" s="6" t="n">
        <f aca="false">F237+E237</f>
        <v>46296.4117592593</v>
      </c>
      <c r="H237" s="24" t="str">
        <f aca="false">IF(INDEX('Running Order'!$B$2:$B$225,B237)="Y","on air","dropped")</f>
        <v>on air</v>
      </c>
      <c r="I237" s="24" t="str">
        <f aca="false">IF(F237&lt;Summary!$B$4+1,"yes","")</f>
        <v>yes</v>
      </c>
    </row>
    <row r="238" customFormat="false" ht="15" hidden="false" customHeight="false" outlineLevel="0" collapsed="false">
      <c r="A238" s="24" t="n">
        <f aca="false">INT((ROW()-2)/Summary!$B$8)+1</f>
        <v>2</v>
      </c>
      <c r="B238" s="24" t="n">
        <f aca="false">MOD(ROW()-2,Summary!$B$8)+1</f>
        <v>13</v>
      </c>
      <c r="C238" s="24" t="str">
        <f aca="false">INDEX('Running Order'!$C$2:$C$225,B238)</f>
        <v>CLOSE UP FOR TV COMMERCIALS</v>
      </c>
      <c r="D238" s="24" t="str">
        <f aca="false">INDEX('Running Order'!$D$2:$D$225,B238)</f>
        <v>Commercial</v>
      </c>
      <c r="E238" s="5" t="n">
        <f aca="false">IF(INDEX('Running Order'!$B$2:$B$225,B238)="Y",INDEX('Running Order'!$E$2:$E$225,B238),0)</f>
        <v>0.000347222222222222</v>
      </c>
      <c r="F238" s="6" t="n">
        <f aca="false">(A238-1)*Summary!$B$5+INDEX('Running Order'!$F$2:$F$225,B238)</f>
        <v>46296.4117592593</v>
      </c>
      <c r="G238" s="6" t="n">
        <f aca="false">F238+E238</f>
        <v>46296.4121064815</v>
      </c>
      <c r="H238" s="24" t="str">
        <f aca="false">IF(INDEX('Running Order'!$B$2:$B$225,B238)="Y","on air","dropped")</f>
        <v>on air</v>
      </c>
      <c r="I238" s="24" t="str">
        <f aca="false">IF(F238&lt;Summary!$B$4+1,"yes","")</f>
        <v>yes</v>
      </c>
    </row>
    <row r="239" customFormat="false" ht="15" hidden="false" customHeight="false" outlineLevel="0" collapsed="false">
      <c r="A239" s="24" t="n">
        <f aca="false">INT((ROW()-2)/Summary!$B$8)+1</f>
        <v>2</v>
      </c>
      <c r="B239" s="24" t="n">
        <f aca="false">MOD(ROW()-2,Summary!$B$8)+1</f>
        <v>14</v>
      </c>
      <c r="C239" s="24" t="str">
        <f aca="false">INDEX('Running Order'!$C$2:$C$225,B239)</f>
        <v>KNOR GOOD JOLLOF</v>
      </c>
      <c r="D239" s="24" t="str">
        <f aca="false">INDEX('Running Order'!$D$2:$D$225,B239)</f>
        <v>Short</v>
      </c>
      <c r="E239" s="5" t="n">
        <f aca="false">IF(INDEX('Running Order'!$B$2:$B$225,B239)="Y",INDEX('Running Order'!$E$2:$E$225,B239),0)</f>
        <v>0.000590277777777778</v>
      </c>
      <c r="F239" s="6" t="n">
        <f aca="false">(A239-1)*Summary!$B$5+INDEX('Running Order'!$F$2:$F$225,B239)</f>
        <v>46296.4121064815</v>
      </c>
      <c r="G239" s="6" t="n">
        <f aca="false">F239+E239</f>
        <v>46296.4126967593</v>
      </c>
      <c r="H239" s="24" t="str">
        <f aca="false">IF(INDEX('Running Order'!$B$2:$B$225,B239)="Y","on air","dropped")</f>
        <v>on air</v>
      </c>
      <c r="I239" s="24" t="str">
        <f aca="false">IF(F239&lt;Summary!$B$4+1,"yes","")</f>
        <v>yes</v>
      </c>
    </row>
    <row r="240" customFormat="false" ht="15" hidden="false" customHeight="false" outlineLevel="0" collapsed="false">
      <c r="A240" s="24" t="n">
        <f aca="false">INT((ROW()-2)/Summary!$B$8)+1</f>
        <v>2</v>
      </c>
      <c r="B240" s="24" t="n">
        <f aca="false">MOD(ROW()-2,Summary!$B$8)+1</f>
        <v>15</v>
      </c>
      <c r="C240" s="24" t="str">
        <f aca="false">INDEX('Running Order'!$C$2:$C$225,B240)</f>
        <v>CHANNEL MONTAGE</v>
      </c>
      <c r="D240" s="24" t="str">
        <f aca="false">INDEX('Running Order'!$D$2:$D$225,B240)</f>
        <v>Montage</v>
      </c>
      <c r="E240" s="5" t="n">
        <f aca="false">IF(INDEX('Running Order'!$B$2:$B$225,B240)="Y",INDEX('Running Order'!$E$2:$E$225,B240),0)</f>
        <v>0.000115740740740741</v>
      </c>
      <c r="F240" s="6" t="n">
        <f aca="false">(A240-1)*Summary!$B$5+INDEX('Running Order'!$F$2:$F$225,B240)</f>
        <v>46296.4126967593</v>
      </c>
      <c r="G240" s="6" t="n">
        <f aca="false">F240+E240</f>
        <v>46296.4128125</v>
      </c>
      <c r="H240" s="24" t="str">
        <f aca="false">IF(INDEX('Running Order'!$B$2:$B$225,B240)="Y","on air","dropped")</f>
        <v>on air</v>
      </c>
      <c r="I240" s="24" t="str">
        <f aca="false">IF(F240&lt;Summary!$B$4+1,"yes","")</f>
        <v>yes</v>
      </c>
    </row>
    <row r="241" customFormat="false" ht="15" hidden="false" customHeight="false" outlineLevel="0" collapsed="false">
      <c r="A241" s="24" t="n">
        <f aca="false">INT((ROW()-2)/Summary!$B$8)+1</f>
        <v>2</v>
      </c>
      <c r="B241" s="24" t="n">
        <f aca="false">MOD(ROW()-2,Summary!$B$8)+1</f>
        <v>16</v>
      </c>
      <c r="C241" s="24" t="str">
        <f aca="false">INDEX('Running Order'!$C$2:$C$225,B241)</f>
        <v>BREAKFAST AFRICA</v>
      </c>
      <c r="D241" s="24" t="str">
        <f aca="false">INDEX('Running Order'!$D$2:$D$225,B241)</f>
        <v>Short</v>
      </c>
      <c r="E241" s="5" t="n">
        <f aca="false">IF(INDEX('Running Order'!$B$2:$B$225,B241)="Y",INDEX('Running Order'!$E$2:$E$225,B241),0)</f>
        <v>0.000439814814814815</v>
      </c>
      <c r="F241" s="6" t="n">
        <f aca="false">(A241-1)*Summary!$B$5+INDEX('Running Order'!$F$2:$F$225,B241)</f>
        <v>46296.4128125</v>
      </c>
      <c r="G241" s="6" t="n">
        <f aca="false">F241+E241</f>
        <v>46296.4132523148</v>
      </c>
      <c r="H241" s="24" t="str">
        <f aca="false">IF(INDEX('Running Order'!$B$2:$B$225,B241)="Y","on air","dropped")</f>
        <v>on air</v>
      </c>
      <c r="I241" s="24" t="str">
        <f aca="false">IF(F241&lt;Summary!$B$4+1,"yes","")</f>
        <v>yes</v>
      </c>
    </row>
    <row r="242" customFormat="false" ht="15" hidden="false" customHeight="false" outlineLevel="0" collapsed="false">
      <c r="A242" s="24" t="n">
        <f aca="false">INT((ROW()-2)/Summary!$B$8)+1</f>
        <v>2</v>
      </c>
      <c r="B242" s="24" t="n">
        <f aca="false">MOD(ROW()-2,Summary!$B$8)+1</f>
        <v>17</v>
      </c>
      <c r="C242" s="24" t="str">
        <f aca="false">INDEX('Running Order'!$C$2:$C$225,B242)</f>
        <v>FOOD TOURS</v>
      </c>
      <c r="D242" s="24" t="str">
        <f aca="false">INDEX('Running Order'!$D$2:$D$225,B242)</f>
        <v>Short</v>
      </c>
      <c r="E242" s="5" t="n">
        <f aca="false">IF(INDEX('Running Order'!$B$2:$B$225,B242)="Y",INDEX('Running Order'!$E$2:$E$225,B242),0)</f>
        <v>0.000381944444444445</v>
      </c>
      <c r="F242" s="6" t="n">
        <f aca="false">(A242-1)*Summary!$B$5+INDEX('Running Order'!$F$2:$F$225,B242)</f>
        <v>46296.4132523148</v>
      </c>
      <c r="G242" s="6" t="n">
        <f aca="false">F242+E242</f>
        <v>46296.4136342593</v>
      </c>
      <c r="H242" s="24" t="str">
        <f aca="false">IF(INDEX('Running Order'!$B$2:$B$225,B242)="Y","on air","dropped")</f>
        <v>on air</v>
      </c>
      <c r="I242" s="24" t="str">
        <f aca="false">IF(F242&lt;Summary!$B$4+1,"yes","")</f>
        <v>yes</v>
      </c>
    </row>
    <row r="243" customFormat="false" ht="15" hidden="false" customHeight="false" outlineLevel="0" collapsed="false">
      <c r="A243" s="24" t="n">
        <f aca="false">INT((ROW()-2)/Summary!$B$8)+1</f>
        <v>2</v>
      </c>
      <c r="B243" s="24" t="n">
        <f aca="false">MOD(ROW()-2,Summary!$B$8)+1</f>
        <v>18</v>
      </c>
      <c r="C243" s="24" t="str">
        <f aca="false">INDEX('Running Order'!$C$2:$C$225,B243)</f>
        <v>FOOD FARM FOR TV</v>
      </c>
      <c r="D243" s="24" t="str">
        <f aca="false">INDEX('Running Order'!$D$2:$D$225,B243)</f>
        <v>Short</v>
      </c>
      <c r="E243" s="5" t="n">
        <f aca="false">IF(INDEX('Running Order'!$B$2:$B$225,B243)="Y",INDEX('Running Order'!$E$2:$E$225,B243),0)</f>
        <v>0.000636574074074074</v>
      </c>
      <c r="F243" s="6" t="n">
        <f aca="false">(A243-1)*Summary!$B$5+INDEX('Running Order'!$F$2:$F$225,B243)</f>
        <v>46296.4136342593</v>
      </c>
      <c r="G243" s="6" t="n">
        <f aca="false">F243+E243</f>
        <v>46296.4142708333</v>
      </c>
      <c r="H243" s="24" t="str">
        <f aca="false">IF(INDEX('Running Order'!$B$2:$B$225,B243)="Y","on air","dropped")</f>
        <v>on air</v>
      </c>
      <c r="I243" s="24" t="str">
        <f aca="false">IF(F243&lt;Summary!$B$4+1,"yes","")</f>
        <v>yes</v>
      </c>
    </row>
    <row r="244" customFormat="false" ht="15" hidden="false" customHeight="false" outlineLevel="0" collapsed="false">
      <c r="A244" s="24" t="n">
        <f aca="false">INT((ROW()-2)/Summary!$B$8)+1</f>
        <v>2</v>
      </c>
      <c r="B244" s="24" t="n">
        <f aca="false">MOD(ROW()-2,Summary!$B$8)+1</f>
        <v>19</v>
      </c>
      <c r="C244" s="24" t="str">
        <f aca="false">INDEX('Running Order'!$C$2:$C$225,B244)</f>
        <v>AFTER DARK COMING SOON</v>
      </c>
      <c r="D244" s="24" t="str">
        <f aca="false">INDEX('Running Order'!$D$2:$D$225,B244)</f>
        <v>Promo</v>
      </c>
      <c r="E244" s="5" t="n">
        <f aca="false">IF(INDEX('Running Order'!$B$2:$B$225,B244)="Y",INDEX('Running Order'!$E$2:$E$225,B244),0)</f>
        <v>0.00068287037037037</v>
      </c>
      <c r="F244" s="6" t="n">
        <f aca="false">(A244-1)*Summary!$B$5+INDEX('Running Order'!$F$2:$F$225,B244)</f>
        <v>46296.4142708333</v>
      </c>
      <c r="G244" s="6" t="n">
        <f aca="false">F244+E244</f>
        <v>46296.4149537037</v>
      </c>
      <c r="H244" s="24" t="str">
        <f aca="false">IF(INDEX('Running Order'!$B$2:$B$225,B244)="Y","on air","dropped")</f>
        <v>on air</v>
      </c>
      <c r="I244" s="24" t="str">
        <f aca="false">IF(F244&lt;Summary!$B$4+1,"yes","")</f>
        <v>yes</v>
      </c>
    </row>
    <row r="245" customFormat="false" ht="15" hidden="false" customHeight="false" outlineLevel="0" collapsed="false">
      <c r="A245" s="24" t="n">
        <f aca="false">INT((ROW()-2)/Summary!$B$8)+1</f>
        <v>2</v>
      </c>
      <c r="B245" s="24" t="n">
        <f aca="false">MOD(ROW()-2,Summary!$B$8)+1</f>
        <v>20</v>
      </c>
      <c r="C245" s="24" t="str">
        <f aca="false">INDEX('Running Order'!$C$2:$C$225,B245)</f>
        <v>ARIEL DETERGENT COMMERCIAL</v>
      </c>
      <c r="D245" s="24" t="str">
        <f aca="false">INDEX('Running Order'!$D$2:$D$225,B245)</f>
        <v>Commercial</v>
      </c>
      <c r="E245" s="5" t="n">
        <f aca="false">IF(INDEX('Running Order'!$B$2:$B$225,B245)="Y",INDEX('Running Order'!$E$2:$E$225,B245),0)</f>
        <v>0.000347222222222222</v>
      </c>
      <c r="F245" s="6" t="n">
        <f aca="false">(A245-1)*Summary!$B$5+INDEX('Running Order'!$F$2:$F$225,B245)</f>
        <v>46296.4149537037</v>
      </c>
      <c r="G245" s="6" t="n">
        <f aca="false">F245+E245</f>
        <v>46296.4153009259</v>
      </c>
      <c r="H245" s="24" t="str">
        <f aca="false">IF(INDEX('Running Order'!$B$2:$B$225,B245)="Y","on air","dropped")</f>
        <v>on air</v>
      </c>
      <c r="I245" s="24" t="str">
        <f aca="false">IF(F245&lt;Summary!$B$4+1,"yes","")</f>
        <v>yes</v>
      </c>
    </row>
    <row r="246" customFormat="false" ht="15" hidden="false" customHeight="false" outlineLevel="0" collapsed="false">
      <c r="A246" s="24" t="n">
        <f aca="false">INT((ROW()-2)/Summary!$B$8)+1</f>
        <v>2</v>
      </c>
      <c r="B246" s="24" t="n">
        <f aca="false">MOD(ROW()-2,Summary!$B$8)+1</f>
        <v>21</v>
      </c>
      <c r="C246" s="24" t="str">
        <f aca="false">INDEX('Running Order'!$C$2:$C$225,B246)</f>
        <v>malta ramadan parsley yam balls</v>
      </c>
      <c r="D246" s="24" t="str">
        <f aca="false">INDEX('Running Order'!$D$2:$D$225,B246)</f>
        <v>Short</v>
      </c>
      <c r="E246" s="5" t="n">
        <f aca="false">IF(INDEX('Running Order'!$B$2:$B$225,B246)="Y",INDEX('Running Order'!$E$2:$E$225,B246),0)</f>
        <v>0.00162037037037037</v>
      </c>
      <c r="F246" s="6" t="n">
        <f aca="false">(A246-1)*Summary!$B$5+INDEX('Running Order'!$F$2:$F$225,B246)</f>
        <v>46296.4153009259</v>
      </c>
      <c r="G246" s="6" t="n">
        <f aca="false">F246+E246</f>
        <v>46296.4169212963</v>
      </c>
      <c r="H246" s="24" t="str">
        <f aca="false">IF(INDEX('Running Order'!$B$2:$B$225,B246)="Y","on air","dropped")</f>
        <v>on air</v>
      </c>
      <c r="I246" s="24" t="str">
        <f aca="false">IF(F246&lt;Summary!$B$4+1,"yes","")</f>
        <v>yes</v>
      </c>
    </row>
    <row r="247" customFormat="false" ht="15" hidden="false" customHeight="false" outlineLevel="0" collapsed="false">
      <c r="A247" s="24" t="n">
        <f aca="false">INT((ROW()-2)/Summary!$B$8)+1</f>
        <v>2</v>
      </c>
      <c r="B247" s="24" t="n">
        <f aca="false">MOD(ROW()-2,Summary!$B$8)+1</f>
        <v>22</v>
      </c>
      <c r="C247" s="24" t="str">
        <f aca="false">INDEX('Running Order'!$C$2:$C$225,B247)</f>
        <v>CHANNEL MONTAGE</v>
      </c>
      <c r="D247" s="24" t="str">
        <f aca="false">INDEX('Running Order'!$D$2:$D$225,B247)</f>
        <v>Montage</v>
      </c>
      <c r="E247" s="5" t="n">
        <f aca="false">IF(INDEX('Running Order'!$B$2:$B$225,B247)="Y",INDEX('Running Order'!$E$2:$E$225,B247),0)</f>
        <v>0.000115740740740741</v>
      </c>
      <c r="F247" s="6" t="n">
        <f aca="false">(A247-1)*Summary!$B$5+INDEX('Running Order'!$F$2:$F$225,B247)</f>
        <v>46296.4169212963</v>
      </c>
      <c r="G247" s="6" t="n">
        <f aca="false">F247+E247</f>
        <v>46296.417037037</v>
      </c>
      <c r="H247" s="24" t="str">
        <f aca="false">IF(INDEX('Running Order'!$B$2:$B$225,B247)="Y","on air","dropped")</f>
        <v>on air</v>
      </c>
      <c r="I247" s="24" t="str">
        <f aca="false">IF(F247&lt;Summary!$B$4+1,"yes","")</f>
        <v>yes</v>
      </c>
    </row>
    <row r="248" customFormat="false" ht="15" hidden="false" customHeight="false" outlineLevel="0" collapsed="false">
      <c r="A248" s="24" t="n">
        <f aca="false">INT((ROW()-2)/Summary!$B$8)+1</f>
        <v>2</v>
      </c>
      <c r="B248" s="24" t="n">
        <f aca="false">MOD(ROW()-2,Summary!$B$8)+1</f>
        <v>23</v>
      </c>
      <c r="C248" s="24" t="str">
        <f aca="false">INDEX('Running Order'!$C$2:$C$225,B248)</f>
        <v>LIPTON FLAVOUR</v>
      </c>
      <c r="D248" s="24" t="str">
        <f aca="false">INDEX('Running Order'!$D$2:$D$225,B248)</f>
        <v>Commercial</v>
      </c>
      <c r="E248" s="5" t="n">
        <f aca="false">IF(INDEX('Running Order'!$B$2:$B$225,B248)="Y",INDEX('Running Order'!$E$2:$E$225,B248),0)</f>
        <v>6.94444444444444E-005</v>
      </c>
      <c r="F248" s="6" t="n">
        <f aca="false">(A248-1)*Summary!$B$5+INDEX('Running Order'!$F$2:$F$225,B248)</f>
        <v>46296.417037037</v>
      </c>
      <c r="G248" s="6" t="n">
        <f aca="false">F248+E248</f>
        <v>46296.4171064815</v>
      </c>
      <c r="H248" s="24" t="str">
        <f aca="false">IF(INDEX('Running Order'!$B$2:$B$225,B248)="Y","on air","dropped")</f>
        <v>on air</v>
      </c>
      <c r="I248" s="24" t="str">
        <f aca="false">IF(F248&lt;Summary!$B$4+1,"yes","")</f>
        <v>yes</v>
      </c>
    </row>
    <row r="249" customFormat="false" ht="15" hidden="false" customHeight="false" outlineLevel="0" collapsed="false">
      <c r="A249" s="24" t="n">
        <f aca="false">INT((ROW()-2)/Summary!$B$8)+1</f>
        <v>2</v>
      </c>
      <c r="B249" s="24" t="n">
        <f aca="false">MOD(ROW()-2,Summary!$B$8)+1</f>
        <v>24</v>
      </c>
      <c r="C249" s="24" t="str">
        <f aca="false">INDEX('Running Order'!$C$2:$C$225,B249)</f>
        <v>CROWN PASTA SPAG BOLOG</v>
      </c>
      <c r="D249" s="24" t="str">
        <f aca="false">INDEX('Running Order'!$D$2:$D$225,B249)</f>
        <v>Commercial</v>
      </c>
      <c r="E249" s="5" t="n">
        <f aca="false">IF(INDEX('Running Order'!$B$2:$B$225,B249)="Y",INDEX('Running Order'!$E$2:$E$225,B249),0)</f>
        <v>0.00100694444444444</v>
      </c>
      <c r="F249" s="6" t="n">
        <f aca="false">(A249-1)*Summary!$B$5+INDEX('Running Order'!$F$2:$F$225,B249)</f>
        <v>46296.4171064815</v>
      </c>
      <c r="G249" s="6" t="n">
        <f aca="false">F249+E249</f>
        <v>46296.4181134259</v>
      </c>
      <c r="H249" s="24" t="str">
        <f aca="false">IF(INDEX('Running Order'!$B$2:$B$225,B249)="Y","on air","dropped")</f>
        <v>on air</v>
      </c>
      <c r="I249" s="24" t="str">
        <f aca="false">IF(F249&lt;Summary!$B$4+1,"yes","")</f>
        <v>yes</v>
      </c>
    </row>
    <row r="250" customFormat="false" ht="15" hidden="false" customHeight="false" outlineLevel="0" collapsed="false">
      <c r="A250" s="24" t="n">
        <f aca="false">INT((ROW()-2)/Summary!$B$8)+1</f>
        <v>2</v>
      </c>
      <c r="B250" s="24" t="n">
        <f aca="false">MOD(ROW()-2,Summary!$B$8)+1</f>
        <v>25</v>
      </c>
      <c r="C250" s="24" t="str">
        <f aca="false">INDEX('Running Order'!$C$2:$C$225,B250)</f>
        <v>TATTASE CHIPS STING</v>
      </c>
      <c r="D250" s="24" t="str">
        <f aca="false">INDEX('Running Order'!$D$2:$D$225,B250)</f>
        <v>Sting</v>
      </c>
      <c r="E250" s="5" t="n">
        <f aca="false">IF(INDEX('Running Order'!$B$2:$B$225,B250)="Y",INDEX('Running Order'!$E$2:$E$225,B250),0)</f>
        <v>9.25925925925926E-005</v>
      </c>
      <c r="F250" s="6" t="n">
        <f aca="false">(A250-1)*Summary!$B$5+INDEX('Running Order'!$F$2:$F$225,B250)</f>
        <v>46296.4181134259</v>
      </c>
      <c r="G250" s="6" t="n">
        <f aca="false">F250+E250</f>
        <v>46296.4182060185</v>
      </c>
      <c r="H250" s="24" t="str">
        <f aca="false">IF(INDEX('Running Order'!$B$2:$B$225,B250)="Y","on air","dropped")</f>
        <v>on air</v>
      </c>
      <c r="I250" s="24" t="str">
        <f aca="false">IF(F250&lt;Summary!$B$4+1,"yes","")</f>
        <v>yes</v>
      </c>
    </row>
    <row r="251" customFormat="false" ht="15" hidden="false" customHeight="false" outlineLevel="0" collapsed="false">
      <c r="A251" s="24" t="n">
        <f aca="false">INT((ROW()-2)/Summary!$B$8)+1</f>
        <v>2</v>
      </c>
      <c r="B251" s="24" t="n">
        <f aca="false">MOD(ROW()-2,Summary!$B$8)+1</f>
        <v>26</v>
      </c>
      <c r="C251" s="24" t="str">
        <f aca="false">INDEX('Running Order'!$C$2:$C$225,B251)</f>
        <v>ABUJA NYSC CAMP</v>
      </c>
      <c r="D251" s="24" t="str">
        <f aca="false">INDEX('Running Order'!$D$2:$D$225,B251)</f>
        <v>Short</v>
      </c>
      <c r="E251" s="5" t="n">
        <f aca="false">IF(INDEX('Running Order'!$B$2:$B$225,B251)="Y",INDEX('Running Order'!$E$2:$E$225,B251),0)</f>
        <v>0.000555555555555556</v>
      </c>
      <c r="F251" s="6" t="n">
        <f aca="false">(A251-1)*Summary!$B$5+INDEX('Running Order'!$F$2:$F$225,B251)</f>
        <v>46296.4182060185</v>
      </c>
      <c r="G251" s="6" t="n">
        <f aca="false">F251+E251</f>
        <v>46296.4187615741</v>
      </c>
      <c r="H251" s="24" t="str">
        <f aca="false">IF(INDEX('Running Order'!$B$2:$B$225,B251)="Y","on air","dropped")</f>
        <v>on air</v>
      </c>
      <c r="I251" s="24" t="str">
        <f aca="false">IF(F251&lt;Summary!$B$4+1,"yes","")</f>
        <v>yes</v>
      </c>
    </row>
    <row r="252" customFormat="false" ht="15" hidden="false" customHeight="false" outlineLevel="0" collapsed="false">
      <c r="A252" s="24" t="n">
        <f aca="false">INT((ROW()-2)/Summary!$B$8)+1</f>
        <v>2</v>
      </c>
      <c r="B252" s="24" t="n">
        <f aca="false">MOD(ROW()-2,Summary!$B$8)+1</f>
        <v>27</v>
      </c>
      <c r="C252" s="24" t="str">
        <f aca="false">INDEX('Running Order'!$C$2:$C$225,B252)</f>
        <v>FAB FOR TV</v>
      </c>
      <c r="D252" s="24" t="str">
        <f aca="false">INDEX('Running Order'!$D$2:$D$225,B252)</f>
        <v>Short</v>
      </c>
      <c r="E252" s="5" t="n">
        <f aca="false">IF(INDEX('Running Order'!$B$2:$B$225,B252)="Y",INDEX('Running Order'!$E$2:$E$225,B252),0)</f>
        <v>0.000393518518518519</v>
      </c>
      <c r="F252" s="6" t="n">
        <f aca="false">(A252-1)*Summary!$B$5+INDEX('Running Order'!$F$2:$F$225,B252)</f>
        <v>46296.4187615741</v>
      </c>
      <c r="G252" s="6" t="n">
        <f aca="false">F252+E252</f>
        <v>46296.4191550926</v>
      </c>
      <c r="H252" s="24" t="str">
        <f aca="false">IF(INDEX('Running Order'!$B$2:$B$225,B252)="Y","on air","dropped")</f>
        <v>on air</v>
      </c>
      <c r="I252" s="24" t="str">
        <f aca="false">IF(F252&lt;Summary!$B$4+1,"yes","")</f>
        <v>yes</v>
      </c>
    </row>
    <row r="253" customFormat="false" ht="15" hidden="false" customHeight="false" outlineLevel="0" collapsed="false">
      <c r="A253" s="24" t="n">
        <f aca="false">INT((ROW()-2)/Summary!$B$8)+1</f>
        <v>2</v>
      </c>
      <c r="B253" s="24" t="n">
        <f aca="false">MOD(ROW()-2,Summary!$B$8)+1</f>
        <v>28</v>
      </c>
      <c r="C253" s="24" t="str">
        <f aca="false">INDEX('Running Order'!$C$2:$C$225,B253)</f>
        <v>Tattasetv sting</v>
      </c>
      <c r="D253" s="24" t="str">
        <f aca="false">INDEX('Running Order'!$D$2:$D$225,B253)</f>
        <v>Sting</v>
      </c>
      <c r="E253" s="5" t="n">
        <f aca="false">IF(INDEX('Running Order'!$B$2:$B$225,B253)="Y",INDEX('Running Order'!$E$2:$E$225,B253),0)</f>
        <v>6.94444444444444E-005</v>
      </c>
      <c r="F253" s="6" t="n">
        <f aca="false">(A253-1)*Summary!$B$5+INDEX('Running Order'!$F$2:$F$225,B253)</f>
        <v>46296.4191550926</v>
      </c>
      <c r="G253" s="6" t="n">
        <f aca="false">F253+E253</f>
        <v>46296.419224537</v>
      </c>
      <c r="H253" s="24" t="str">
        <f aca="false">IF(INDEX('Running Order'!$B$2:$B$225,B253)="Y","on air","dropped")</f>
        <v>on air</v>
      </c>
      <c r="I253" s="24" t="str">
        <f aca="false">IF(F253&lt;Summary!$B$4+1,"yes","")</f>
        <v>yes</v>
      </c>
    </row>
    <row r="254" customFormat="false" ht="15" hidden="false" customHeight="false" outlineLevel="0" collapsed="false">
      <c r="A254" s="24" t="n">
        <f aca="false">INT((ROW()-2)/Summary!$B$8)+1</f>
        <v>2</v>
      </c>
      <c r="B254" s="24" t="n">
        <f aca="false">MOD(ROW()-2,Summary!$B$8)+1</f>
        <v>29</v>
      </c>
      <c r="C254" s="24" t="str">
        <f aca="false">INDEX('Running Order'!$C$2:$C$225,B254)</f>
        <v>LUNCH BOX COMING SOON</v>
      </c>
      <c r="D254" s="24" t="str">
        <f aca="false">INDEX('Running Order'!$D$2:$D$225,B254)</f>
        <v>Promo</v>
      </c>
      <c r="E254" s="5" t="n">
        <f aca="false">IF(INDEX('Running Order'!$B$2:$B$225,B254)="Y",INDEX('Running Order'!$E$2:$E$225,B254),0)</f>
        <v>0.000277777777777778</v>
      </c>
      <c r="F254" s="6" t="n">
        <f aca="false">(A254-1)*Summary!$B$5+INDEX('Running Order'!$F$2:$F$225,B254)</f>
        <v>46296.419224537</v>
      </c>
      <c r="G254" s="6" t="n">
        <f aca="false">F254+E254</f>
        <v>46296.4195023148</v>
      </c>
      <c r="H254" s="24" t="str">
        <f aca="false">IF(INDEX('Running Order'!$B$2:$B$225,B254)="Y","on air","dropped")</f>
        <v>on air</v>
      </c>
      <c r="I254" s="24" t="str">
        <f aca="false">IF(F254&lt;Summary!$B$4+1,"yes","")</f>
        <v>yes</v>
      </c>
    </row>
    <row r="255" customFormat="false" ht="15" hidden="false" customHeight="false" outlineLevel="0" collapsed="false">
      <c r="A255" s="24" t="n">
        <f aca="false">INT((ROW()-2)/Summary!$B$8)+1</f>
        <v>2</v>
      </c>
      <c r="B255" s="24" t="n">
        <f aca="false">MOD(ROW()-2,Summary!$B$8)+1</f>
        <v>30</v>
      </c>
      <c r="C255" s="24" t="str">
        <f aca="false">INDEX('Running Order'!$C$2:$C$225,B255)</f>
        <v>BAKES N CAKES MONTAGE</v>
      </c>
      <c r="D255" s="24" t="str">
        <f aca="false">INDEX('Running Order'!$D$2:$D$225,B255)</f>
        <v>Short</v>
      </c>
      <c r="E255" s="5" t="n">
        <f aca="false">IF(INDEX('Running Order'!$B$2:$B$225,B255)="Y",INDEX('Running Order'!$E$2:$E$225,B255),0)</f>
        <v>0.000266203703703704</v>
      </c>
      <c r="F255" s="6" t="n">
        <f aca="false">(A255-1)*Summary!$B$5+INDEX('Running Order'!$F$2:$F$225,B255)</f>
        <v>46296.4195023148</v>
      </c>
      <c r="G255" s="6" t="n">
        <f aca="false">F255+E255</f>
        <v>46296.4197685185</v>
      </c>
      <c r="H255" s="24" t="str">
        <f aca="false">IF(INDEX('Running Order'!$B$2:$B$225,B255)="Y","on air","dropped")</f>
        <v>on air</v>
      </c>
      <c r="I255" s="24" t="str">
        <f aca="false">IF(F255&lt;Summary!$B$4+1,"yes","")</f>
        <v>yes</v>
      </c>
    </row>
    <row r="256" customFormat="false" ht="15" hidden="false" customHeight="false" outlineLevel="0" collapsed="false">
      <c r="A256" s="24" t="n">
        <f aca="false">INT((ROW()-2)/Summary!$B$8)+1</f>
        <v>2</v>
      </c>
      <c r="B256" s="24" t="n">
        <f aca="false">MOD(ROW()-2,Summary!$B$8)+1</f>
        <v>31</v>
      </c>
      <c r="C256" s="24" t="str">
        <f aca="false">INDEX('Running Order'!$C$2:$C$225,B256)</f>
        <v>GREEN FIELDS AFRICA COMING SOON</v>
      </c>
      <c r="D256" s="24" t="str">
        <f aca="false">INDEX('Running Order'!$D$2:$D$225,B256)</f>
        <v>Promo</v>
      </c>
      <c r="E256" s="5" t="n">
        <f aca="false">IF(INDEX('Running Order'!$B$2:$B$225,B256)="Y",INDEX('Running Order'!$E$2:$E$225,B256),0)</f>
        <v>0.000393518518518519</v>
      </c>
      <c r="F256" s="6" t="n">
        <f aca="false">(A256-1)*Summary!$B$5+INDEX('Running Order'!$F$2:$F$225,B256)</f>
        <v>46296.4197685185</v>
      </c>
      <c r="G256" s="6" t="n">
        <f aca="false">F256+E256</f>
        <v>46296.420162037</v>
      </c>
      <c r="H256" s="24" t="str">
        <f aca="false">IF(INDEX('Running Order'!$B$2:$B$225,B256)="Y","on air","dropped")</f>
        <v>on air</v>
      </c>
      <c r="I256" s="24" t="str">
        <f aca="false">IF(F256&lt;Summary!$B$4+1,"yes","")</f>
        <v>yes</v>
      </c>
    </row>
    <row r="257" customFormat="false" ht="15" hidden="false" customHeight="false" outlineLevel="0" collapsed="false">
      <c r="A257" s="24" t="n">
        <f aca="false">INT((ROW()-2)/Summary!$B$8)+1</f>
        <v>2</v>
      </c>
      <c r="B257" s="24" t="n">
        <f aca="false">MOD(ROW()-2,Summary!$B$8)+1</f>
        <v>32</v>
      </c>
      <c r="C257" s="24" t="str">
        <f aca="false">INDEX('Running Order'!$C$2:$C$225,B257)</f>
        <v>CHANNEL MONTAGE</v>
      </c>
      <c r="D257" s="24" t="str">
        <f aca="false">INDEX('Running Order'!$D$2:$D$225,B257)</f>
        <v>Montage</v>
      </c>
      <c r="E257" s="5" t="n">
        <f aca="false">IF(INDEX('Running Order'!$B$2:$B$225,B257)="Y",INDEX('Running Order'!$E$2:$E$225,B257),0)</f>
        <v>0.000115740740740741</v>
      </c>
      <c r="F257" s="6" t="n">
        <f aca="false">(A257-1)*Summary!$B$5+INDEX('Running Order'!$F$2:$F$225,B257)</f>
        <v>46296.420162037</v>
      </c>
      <c r="G257" s="6" t="n">
        <f aca="false">F257+E257</f>
        <v>46296.4202777778</v>
      </c>
      <c r="H257" s="24" t="str">
        <f aca="false">IF(INDEX('Running Order'!$B$2:$B$225,B257)="Y","on air","dropped")</f>
        <v>on air</v>
      </c>
      <c r="I257" s="24" t="str">
        <f aca="false">IF(F257&lt;Summary!$B$4+1,"yes","")</f>
        <v>yes</v>
      </c>
    </row>
    <row r="258" customFormat="false" ht="15" hidden="false" customHeight="false" outlineLevel="0" collapsed="false">
      <c r="A258" s="24" t="n">
        <f aca="false">INT((ROW()-2)/Summary!$B$8)+1</f>
        <v>2</v>
      </c>
      <c r="B258" s="24" t="n">
        <f aca="false">MOD(ROW()-2,Summary!$B$8)+1</f>
        <v>33</v>
      </c>
      <c r="C258" s="24" t="str">
        <f aca="false">INDEX('Running Order'!$C$2:$C$225,B258)</f>
        <v>COCACOLA RECIPE</v>
      </c>
      <c r="D258" s="24" t="str">
        <f aca="false">INDEX('Running Order'!$D$2:$D$225,B258)</f>
        <v>Short</v>
      </c>
      <c r="E258" s="5" t="n">
        <f aca="false">IF(INDEX('Running Order'!$B$2:$B$225,B258)="Y",INDEX('Running Order'!$E$2:$E$225,B258),0)</f>
        <v>0.000347222222222222</v>
      </c>
      <c r="F258" s="6" t="n">
        <f aca="false">(A258-1)*Summary!$B$5+INDEX('Running Order'!$F$2:$F$225,B258)</f>
        <v>46296.4202777778</v>
      </c>
      <c r="G258" s="6" t="n">
        <f aca="false">F258+E258</f>
        <v>46296.420625</v>
      </c>
      <c r="H258" s="24" t="str">
        <f aca="false">IF(INDEX('Running Order'!$B$2:$B$225,B258)="Y","on air","dropped")</f>
        <v>on air</v>
      </c>
      <c r="I258" s="24" t="str">
        <f aca="false">IF(F258&lt;Summary!$B$4+1,"yes","")</f>
        <v>yes</v>
      </c>
    </row>
    <row r="259" customFormat="false" ht="15" hidden="false" customHeight="false" outlineLevel="0" collapsed="false">
      <c r="A259" s="24" t="n">
        <f aca="false">INT((ROW()-2)/Summary!$B$8)+1</f>
        <v>2</v>
      </c>
      <c r="B259" s="24" t="n">
        <f aca="false">MOD(ROW()-2,Summary!$B$8)+1</f>
        <v>34</v>
      </c>
      <c r="C259" s="24" t="str">
        <f aca="false">INDEX('Running Order'!$C$2:$C$225,B259)</f>
        <v>URBAN KITCHEN SHOW NEW</v>
      </c>
      <c r="D259" s="24" t="str">
        <f aca="false">INDEX('Running Order'!$D$2:$D$225,B259)</f>
        <v>Short</v>
      </c>
      <c r="E259" s="5" t="n">
        <f aca="false">IF(INDEX('Running Order'!$B$2:$B$225,B259)="Y",INDEX('Running Order'!$E$2:$E$225,B259),0)</f>
        <v>0.00068287037037037</v>
      </c>
      <c r="F259" s="6" t="n">
        <f aca="false">(A259-1)*Summary!$B$5+INDEX('Running Order'!$F$2:$F$225,B259)</f>
        <v>46296.420625</v>
      </c>
      <c r="G259" s="6" t="n">
        <f aca="false">F259+E259</f>
        <v>46296.4213078704</v>
      </c>
      <c r="H259" s="24" t="str">
        <f aca="false">IF(INDEX('Running Order'!$B$2:$B$225,B259)="Y","on air","dropped")</f>
        <v>on air</v>
      </c>
      <c r="I259" s="24" t="str">
        <f aca="false">IF(F259&lt;Summary!$B$4+1,"yes","")</f>
        <v>yes</v>
      </c>
    </row>
    <row r="260" customFormat="false" ht="15" hidden="false" customHeight="false" outlineLevel="0" collapsed="false">
      <c r="A260" s="24" t="n">
        <f aca="false">INT((ROW()-2)/Summary!$B$8)+1</f>
        <v>2</v>
      </c>
      <c r="B260" s="24" t="n">
        <f aca="false">MOD(ROW()-2,Summary!$B$8)+1</f>
        <v>35</v>
      </c>
      <c r="C260" s="24" t="str">
        <f aca="false">INDEX('Running Order'!$C$2:$C$225,B260)</f>
        <v>VEGAN DIARIES REAL</v>
      </c>
      <c r="D260" s="24" t="str">
        <f aca="false">INDEX('Running Order'!$D$2:$D$225,B260)</f>
        <v>Short</v>
      </c>
      <c r="E260" s="5" t="n">
        <f aca="false">IF(INDEX('Running Order'!$B$2:$B$225,B260)="Y",INDEX('Running Order'!$E$2:$E$225,B260),0)</f>
        <v>0.000428240740740741</v>
      </c>
      <c r="F260" s="6" t="n">
        <f aca="false">(A260-1)*Summary!$B$5+INDEX('Running Order'!$F$2:$F$225,B260)</f>
        <v>46296.4213078704</v>
      </c>
      <c r="G260" s="6" t="n">
        <f aca="false">F260+E260</f>
        <v>46296.4217361111</v>
      </c>
      <c r="H260" s="24" t="str">
        <f aca="false">IF(INDEX('Running Order'!$B$2:$B$225,B260)="Y","on air","dropped")</f>
        <v>on air</v>
      </c>
      <c r="I260" s="24" t="str">
        <f aca="false">IF(F260&lt;Summary!$B$4+1,"yes","")</f>
        <v>yes</v>
      </c>
    </row>
    <row r="261" customFormat="false" ht="15" hidden="false" customHeight="false" outlineLevel="0" collapsed="false">
      <c r="A261" s="24" t="n">
        <f aca="false">INT((ROW()-2)/Summary!$B$8)+1</f>
        <v>2</v>
      </c>
      <c r="B261" s="24" t="n">
        <f aca="false">MOD(ROW()-2,Summary!$B$8)+1</f>
        <v>36</v>
      </c>
      <c r="C261" s="24" t="str">
        <f aca="false">INDEX('Running Order'!$C$2:$C$225,B261)</f>
        <v>FOOD MART</v>
      </c>
      <c r="D261" s="24" t="str">
        <f aca="false">INDEX('Running Order'!$D$2:$D$225,B261)</f>
        <v>Short</v>
      </c>
      <c r="E261" s="5" t="n">
        <f aca="false">IF(INDEX('Running Order'!$B$2:$B$225,B261)="Y",INDEX('Running Order'!$E$2:$E$225,B261),0)</f>
        <v>0.000428240740740741</v>
      </c>
      <c r="F261" s="6" t="n">
        <f aca="false">(A261-1)*Summary!$B$5+INDEX('Running Order'!$F$2:$F$225,B261)</f>
        <v>46296.4217361111</v>
      </c>
      <c r="G261" s="6" t="n">
        <f aca="false">F261+E261</f>
        <v>46296.4221643519</v>
      </c>
      <c r="H261" s="24" t="str">
        <f aca="false">IF(INDEX('Running Order'!$B$2:$B$225,B261)="Y","on air","dropped")</f>
        <v>on air</v>
      </c>
      <c r="I261" s="24" t="str">
        <f aca="false">IF(F261&lt;Summary!$B$4+1,"yes","")</f>
        <v>yes</v>
      </c>
    </row>
    <row r="262" customFormat="false" ht="15" hidden="false" customHeight="false" outlineLevel="0" collapsed="false">
      <c r="A262" s="24" t="n">
        <f aca="false">INT((ROW()-2)/Summary!$B$8)+1</f>
        <v>2</v>
      </c>
      <c r="B262" s="24" t="n">
        <f aca="false">MOD(ROW()-2,Summary!$B$8)+1</f>
        <v>37</v>
      </c>
      <c r="C262" s="24" t="str">
        <f aca="false">INDEX('Running Order'!$C$2:$C$225,B262)</f>
        <v>TATTASE COFFEE STINGS</v>
      </c>
      <c r="D262" s="24" t="str">
        <f aca="false">INDEX('Running Order'!$D$2:$D$225,B262)</f>
        <v>Sting</v>
      </c>
      <c r="E262" s="5" t="n">
        <f aca="false">IF(INDEX('Running Order'!$B$2:$B$225,B262)="Y",INDEX('Running Order'!$E$2:$E$225,B262),0)</f>
        <v>9.25925925925926E-005</v>
      </c>
      <c r="F262" s="6" t="n">
        <f aca="false">(A262-1)*Summary!$B$5+INDEX('Running Order'!$F$2:$F$225,B262)</f>
        <v>46296.4221643519</v>
      </c>
      <c r="G262" s="6" t="n">
        <f aca="false">F262+E262</f>
        <v>46296.4222569445</v>
      </c>
      <c r="H262" s="24" t="str">
        <f aca="false">IF(INDEX('Running Order'!$B$2:$B$225,B262)="Y","on air","dropped")</f>
        <v>on air</v>
      </c>
      <c r="I262" s="24" t="str">
        <f aca="false">IF(F262&lt;Summary!$B$4+1,"yes","")</f>
        <v>yes</v>
      </c>
    </row>
    <row r="263" customFormat="false" ht="15" hidden="false" customHeight="false" outlineLevel="0" collapsed="false">
      <c r="A263" s="24" t="n">
        <f aca="false">INT((ROW()-2)/Summary!$B$8)+1</f>
        <v>2</v>
      </c>
      <c r="B263" s="24" t="n">
        <f aca="false">MOD(ROW()-2,Summary!$B$8)+1</f>
        <v>38</v>
      </c>
      <c r="C263" s="24" t="str">
        <f aca="false">INDEX('Running Order'!$C$2:$C$225,B263)</f>
        <v>AJINOMOTO EGG SAUCE AND BOILED YAM</v>
      </c>
      <c r="D263" s="24" t="str">
        <f aca="false">INDEX('Running Order'!$D$2:$D$225,B263)</f>
        <v>Programme</v>
      </c>
      <c r="E263" s="5" t="n">
        <f aca="false">IF(INDEX('Running Order'!$B$2:$B$225,B263)="Y",INDEX('Running Order'!$E$2:$E$225,B263),0)</f>
        <v>0.00274305555555556</v>
      </c>
      <c r="F263" s="6" t="n">
        <f aca="false">(A263-1)*Summary!$B$5+INDEX('Running Order'!$F$2:$F$225,B263)</f>
        <v>46296.4222569445</v>
      </c>
      <c r="G263" s="6" t="n">
        <f aca="false">F263+E263</f>
        <v>46296.425</v>
      </c>
      <c r="H263" s="24" t="str">
        <f aca="false">IF(INDEX('Running Order'!$B$2:$B$225,B263)="Y","on air","dropped")</f>
        <v>on air</v>
      </c>
      <c r="I263" s="24" t="str">
        <f aca="false">IF(F263&lt;Summary!$B$4+1,"yes","")</f>
        <v>yes</v>
      </c>
    </row>
    <row r="264" customFormat="false" ht="15" hidden="false" customHeight="false" outlineLevel="0" collapsed="false">
      <c r="A264" s="24" t="n">
        <f aca="false">INT((ROW()-2)/Summary!$B$8)+1</f>
        <v>2</v>
      </c>
      <c r="B264" s="24" t="n">
        <f aca="false">MOD(ROW()-2,Summary!$B$8)+1</f>
        <v>39</v>
      </c>
      <c r="C264" s="24" t="str">
        <f aca="false">INDEX('Running Order'!$C$2:$C$225,B264)</f>
        <v>Tattasetv sting</v>
      </c>
      <c r="D264" s="24" t="str">
        <f aca="false">INDEX('Running Order'!$D$2:$D$225,B264)</f>
        <v>Sting</v>
      </c>
      <c r="E264" s="5" t="n">
        <f aca="false">IF(INDEX('Running Order'!$B$2:$B$225,B264)="Y",INDEX('Running Order'!$E$2:$E$225,B264),0)</f>
        <v>6.94444444444444E-005</v>
      </c>
      <c r="F264" s="6" t="n">
        <f aca="false">(A264-1)*Summary!$B$5+INDEX('Running Order'!$F$2:$F$225,B264)</f>
        <v>46296.425</v>
      </c>
      <c r="G264" s="6" t="n">
        <f aca="false">F264+E264</f>
        <v>46296.4250694444</v>
      </c>
      <c r="H264" s="24" t="str">
        <f aca="false">IF(INDEX('Running Order'!$B$2:$B$225,B264)="Y","on air","dropped")</f>
        <v>on air</v>
      </c>
      <c r="I264" s="24" t="str">
        <f aca="false">IF(F264&lt;Summary!$B$4+1,"yes","")</f>
        <v>yes</v>
      </c>
    </row>
    <row r="265" customFormat="false" ht="15" hidden="false" customHeight="false" outlineLevel="0" collapsed="false">
      <c r="A265" s="24" t="n">
        <f aca="false">INT((ROW()-2)/Summary!$B$8)+1</f>
        <v>2</v>
      </c>
      <c r="B265" s="24" t="n">
        <f aca="false">MOD(ROW()-2,Summary!$B$8)+1</f>
        <v>40</v>
      </c>
      <c r="C265" s="24" t="str">
        <f aca="false">INDEX('Running Order'!$C$2:$C$225,B265)</f>
        <v>THE TRUTH ABOUT NETWORK MARKETING NO-ONE TELLS YOU</v>
      </c>
      <c r="D265" s="24" t="str">
        <f aca="false">INDEX('Running Order'!$D$2:$D$225,B265)</f>
        <v>Programme</v>
      </c>
      <c r="E265" s="5" t="n">
        <f aca="false">IF(INDEX('Running Order'!$B$2:$B$225,B265)="Y",INDEX('Running Order'!$E$2:$E$225,B265),0)</f>
        <v>0.00299768518518519</v>
      </c>
      <c r="F265" s="6" t="n">
        <f aca="false">(A265-1)*Summary!$B$5+INDEX('Running Order'!$F$2:$F$225,B265)</f>
        <v>46296.4250694444</v>
      </c>
      <c r="G265" s="6" t="n">
        <f aca="false">F265+E265</f>
        <v>46296.4280671296</v>
      </c>
      <c r="H265" s="24" t="str">
        <f aca="false">IF(INDEX('Running Order'!$B$2:$B$225,B265)="Y","on air","dropped")</f>
        <v>on air</v>
      </c>
      <c r="I265" s="24" t="str">
        <f aca="false">IF(F265&lt;Summary!$B$4+1,"yes","")</f>
        <v>yes</v>
      </c>
    </row>
    <row r="266" customFormat="false" ht="15" hidden="false" customHeight="false" outlineLevel="0" collapsed="false">
      <c r="A266" s="24" t="n">
        <f aca="false">INT((ROW()-2)/Summary!$B$8)+1</f>
        <v>2</v>
      </c>
      <c r="B266" s="24" t="n">
        <f aca="false">MOD(ROW()-2,Summary!$B$8)+1</f>
        <v>41</v>
      </c>
      <c r="C266" s="24" t="str">
        <f aca="false">INDEX('Running Order'!$C$2:$C$225,B266)</f>
        <v>BOLEFEST X MALTA GUINESS TV</v>
      </c>
      <c r="D266" s="24" t="str">
        <f aca="false">INDEX('Running Order'!$D$2:$D$225,B266)</f>
        <v>Short</v>
      </c>
      <c r="E266" s="5" t="n">
        <f aca="false">IF(INDEX('Running Order'!$B$2:$B$225,B266)="Y",INDEX('Running Order'!$E$2:$E$225,B266),0)</f>
        <v>0.0012962962962963</v>
      </c>
      <c r="F266" s="6" t="n">
        <f aca="false">(A266-1)*Summary!$B$5+INDEX('Running Order'!$F$2:$F$225,B266)</f>
        <v>46296.4280671296</v>
      </c>
      <c r="G266" s="6" t="n">
        <f aca="false">F266+E266</f>
        <v>46296.4293634259</v>
      </c>
      <c r="H266" s="24" t="str">
        <f aca="false">IF(INDEX('Running Order'!$B$2:$B$225,B266)="Y","on air","dropped")</f>
        <v>on air</v>
      </c>
      <c r="I266" s="24" t="str">
        <f aca="false">IF(F266&lt;Summary!$B$4+1,"yes","")</f>
        <v>yes</v>
      </c>
    </row>
    <row r="267" customFormat="false" ht="15" hidden="false" customHeight="false" outlineLevel="0" collapsed="false">
      <c r="A267" s="24" t="n">
        <f aca="false">INT((ROW()-2)/Summary!$B$8)+1</f>
        <v>2</v>
      </c>
      <c r="B267" s="24" t="n">
        <f aca="false">MOD(ROW()-2,Summary!$B$8)+1</f>
        <v>42</v>
      </c>
      <c r="C267" s="24" t="str">
        <f aca="false">INDEX('Running Order'!$C$2:$C$225,B267)</f>
        <v>BAKERACE TV</v>
      </c>
      <c r="D267" s="24" t="str">
        <f aca="false">INDEX('Running Order'!$D$2:$D$225,B267)</f>
        <v>Short</v>
      </c>
      <c r="E267" s="5" t="n">
        <f aca="false">IF(INDEX('Running Order'!$B$2:$B$225,B267)="Y",INDEX('Running Order'!$E$2:$E$225,B267),0)</f>
        <v>0.00103009259259259</v>
      </c>
      <c r="F267" s="6" t="n">
        <f aca="false">(A267-1)*Summary!$B$5+INDEX('Running Order'!$F$2:$F$225,B267)</f>
        <v>46296.4293634259</v>
      </c>
      <c r="G267" s="6" t="n">
        <f aca="false">F267+E267</f>
        <v>46296.4303935185</v>
      </c>
      <c r="H267" s="24" t="str">
        <f aca="false">IF(INDEX('Running Order'!$B$2:$B$225,B267)="Y","on air","dropped")</f>
        <v>on air</v>
      </c>
      <c r="I267" s="24" t="str">
        <f aca="false">IF(F267&lt;Summary!$B$4+1,"yes","")</f>
        <v>yes</v>
      </c>
    </row>
    <row r="268" customFormat="false" ht="15" hidden="false" customHeight="false" outlineLevel="0" collapsed="false">
      <c r="A268" s="24" t="n">
        <f aca="false">INT((ROW()-2)/Summary!$B$8)+1</f>
        <v>2</v>
      </c>
      <c r="B268" s="24" t="n">
        <f aca="false">MOD(ROW()-2,Summary!$B$8)+1</f>
        <v>43</v>
      </c>
      <c r="C268" s="24" t="str">
        <f aca="false">INDEX('Running Order'!$C$2:$C$225,B268)</f>
        <v>RECIPE AFRICA</v>
      </c>
      <c r="D268" s="24" t="str">
        <f aca="false">INDEX('Running Order'!$D$2:$D$225,B268)</f>
        <v>Short</v>
      </c>
      <c r="E268" s="5" t="n">
        <f aca="false">IF(INDEX('Running Order'!$B$2:$B$225,B268)="Y",INDEX('Running Order'!$E$2:$E$225,B268),0)</f>
        <v>0.00025462962962963</v>
      </c>
      <c r="F268" s="6" t="n">
        <f aca="false">(A268-1)*Summary!$B$5+INDEX('Running Order'!$F$2:$F$225,B268)</f>
        <v>46296.4303935185</v>
      </c>
      <c r="G268" s="6" t="n">
        <f aca="false">F268+E268</f>
        <v>46296.4306481482</v>
      </c>
      <c r="H268" s="24" t="str">
        <f aca="false">IF(INDEX('Running Order'!$B$2:$B$225,B268)="Y","on air","dropped")</f>
        <v>on air</v>
      </c>
      <c r="I268" s="24" t="str">
        <f aca="false">IF(F268&lt;Summary!$B$4+1,"yes","")</f>
        <v>yes</v>
      </c>
    </row>
    <row r="269" customFormat="false" ht="15" hidden="false" customHeight="false" outlineLevel="0" collapsed="false">
      <c r="A269" s="24" t="n">
        <f aca="false">INT((ROW()-2)/Summary!$B$8)+1</f>
        <v>2</v>
      </c>
      <c r="B269" s="24" t="n">
        <f aca="false">MOD(ROW()-2,Summary!$B$8)+1</f>
        <v>44</v>
      </c>
      <c r="C269" s="24" t="str">
        <f aca="false">INDEX('Running Order'!$C$2:$C$225,B269)</f>
        <v>CHANNEL MONTAGE</v>
      </c>
      <c r="D269" s="24" t="str">
        <f aca="false">INDEX('Running Order'!$D$2:$D$225,B269)</f>
        <v>Montage</v>
      </c>
      <c r="E269" s="5" t="n">
        <f aca="false">IF(INDEX('Running Order'!$B$2:$B$225,B269)="Y",INDEX('Running Order'!$E$2:$E$225,B269),0)</f>
        <v>0.000115740740740741</v>
      </c>
      <c r="F269" s="6" t="n">
        <f aca="false">(A269-1)*Summary!$B$5+INDEX('Running Order'!$F$2:$F$225,B269)</f>
        <v>46296.4306481482</v>
      </c>
      <c r="G269" s="6" t="n">
        <f aca="false">F269+E269</f>
        <v>46296.4307638889</v>
      </c>
      <c r="H269" s="24" t="str">
        <f aca="false">IF(INDEX('Running Order'!$B$2:$B$225,B269)="Y","on air","dropped")</f>
        <v>on air</v>
      </c>
      <c r="I269" s="24" t="str">
        <f aca="false">IF(F269&lt;Summary!$B$4+1,"yes","")</f>
        <v>yes</v>
      </c>
    </row>
    <row r="270" customFormat="false" ht="15" hidden="false" customHeight="false" outlineLevel="0" collapsed="false">
      <c r="A270" s="24" t="n">
        <f aca="false">INT((ROW()-2)/Summary!$B$8)+1</f>
        <v>2</v>
      </c>
      <c r="B270" s="24" t="n">
        <f aca="false">MOD(ROW()-2,Summary!$B$8)+1</f>
        <v>45</v>
      </c>
      <c r="C270" s="24" t="str">
        <f aca="false">INDEX('Running Order'!$C$2:$C$225,B270)</f>
        <v>ORAL B COMMERCIAL VIDEO</v>
      </c>
      <c r="D270" s="24" t="str">
        <f aca="false">INDEX('Running Order'!$D$2:$D$225,B270)</f>
        <v>Commercial</v>
      </c>
      <c r="E270" s="5" t="n">
        <f aca="false">IF(INDEX('Running Order'!$B$2:$B$225,B270)="Y",INDEX('Running Order'!$E$2:$E$225,B270),0)</f>
        <v>0.000347222222222222</v>
      </c>
      <c r="F270" s="6" t="n">
        <f aca="false">(A270-1)*Summary!$B$5+INDEX('Running Order'!$F$2:$F$225,B270)</f>
        <v>46296.4307638889</v>
      </c>
      <c r="G270" s="6" t="n">
        <f aca="false">F270+E270</f>
        <v>46296.4311111111</v>
      </c>
      <c r="H270" s="24" t="str">
        <f aca="false">IF(INDEX('Running Order'!$B$2:$B$225,B270)="Y","on air","dropped")</f>
        <v>on air</v>
      </c>
      <c r="I270" s="24" t="str">
        <f aca="false">IF(F270&lt;Summary!$B$4+1,"yes","")</f>
        <v>yes</v>
      </c>
    </row>
    <row r="271" customFormat="false" ht="15" hidden="false" customHeight="false" outlineLevel="0" collapsed="false">
      <c r="A271" s="24" t="n">
        <f aca="false">INT((ROW()-2)/Summary!$B$8)+1</f>
        <v>2</v>
      </c>
      <c r="B271" s="24" t="n">
        <f aca="false">MOD(ROW()-2,Summary!$B$8)+1</f>
        <v>46</v>
      </c>
      <c r="C271" s="24" t="str">
        <f aca="false">INDEX('Running Order'!$C$2:$C$225,B271)</f>
        <v>CHANNEL MONTAGE</v>
      </c>
      <c r="D271" s="24" t="str">
        <f aca="false">INDEX('Running Order'!$D$2:$D$225,B271)</f>
        <v>Montage</v>
      </c>
      <c r="E271" s="5" t="n">
        <f aca="false">IF(INDEX('Running Order'!$B$2:$B$225,B271)="Y",INDEX('Running Order'!$E$2:$E$225,B271),0)</f>
        <v>0.000115740740740741</v>
      </c>
      <c r="F271" s="6" t="n">
        <f aca="false">(A271-1)*Summary!$B$5+INDEX('Running Order'!$F$2:$F$225,B271)</f>
        <v>46296.4311111111</v>
      </c>
      <c r="G271" s="6" t="n">
        <f aca="false">F271+E271</f>
        <v>46296.4312268519</v>
      </c>
      <c r="H271" s="24" t="str">
        <f aca="false">IF(INDEX('Running Order'!$B$2:$B$225,B271)="Y","on air","dropped")</f>
        <v>on air</v>
      </c>
      <c r="I271" s="24" t="str">
        <f aca="false">IF(F271&lt;Summary!$B$4+1,"yes","")</f>
        <v>yes</v>
      </c>
    </row>
    <row r="272" customFormat="false" ht="15" hidden="false" customHeight="false" outlineLevel="0" collapsed="false">
      <c r="A272" s="24" t="n">
        <f aca="false">INT((ROW()-2)/Summary!$B$8)+1</f>
        <v>2</v>
      </c>
      <c r="B272" s="24" t="n">
        <f aca="false">MOD(ROW()-2,Summary!$B$8)+1</f>
        <v>47</v>
      </c>
      <c r="C272" s="24" t="str">
        <f aca="false">INDEX('Running Order'!$C$2:$C$225,B272)</f>
        <v>10 FOODS TO CUT DOWN ON HEALTHY LIVING</v>
      </c>
      <c r="D272" s="24" t="str">
        <f aca="false">INDEX('Running Order'!$D$2:$D$225,B272)</f>
        <v>Programme</v>
      </c>
      <c r="E272" s="5" t="n">
        <f aca="false">IF(INDEX('Running Order'!$B$2:$B$225,B272)="Y",INDEX('Running Order'!$E$2:$E$225,B272),0)</f>
        <v>0.0162615740740741</v>
      </c>
      <c r="F272" s="6" t="n">
        <f aca="false">(A272-1)*Summary!$B$5+INDEX('Running Order'!$F$2:$F$225,B272)</f>
        <v>46296.4312268519</v>
      </c>
      <c r="G272" s="6" t="n">
        <f aca="false">F272+E272</f>
        <v>46296.4474884259</v>
      </c>
      <c r="H272" s="24" t="str">
        <f aca="false">IF(INDEX('Running Order'!$B$2:$B$225,B272)="Y","on air","dropped")</f>
        <v>on air</v>
      </c>
      <c r="I272" s="24" t="str">
        <f aca="false">IF(F272&lt;Summary!$B$4+1,"yes","")</f>
        <v>yes</v>
      </c>
    </row>
    <row r="273" customFormat="false" ht="15" hidden="false" customHeight="false" outlineLevel="0" collapsed="false">
      <c r="A273" s="24" t="n">
        <f aca="false">INT((ROW()-2)/Summary!$B$8)+1</f>
        <v>2</v>
      </c>
      <c r="B273" s="24" t="n">
        <f aca="false">MOD(ROW()-2,Summary!$B$8)+1</f>
        <v>48</v>
      </c>
      <c r="C273" s="24" t="str">
        <f aca="false">INDEX('Running Order'!$C$2:$C$225,B273)</f>
        <v>TATTASE TV STING</v>
      </c>
      <c r="D273" s="24" t="str">
        <f aca="false">INDEX('Running Order'!$D$2:$D$225,B273)</f>
        <v>Sting</v>
      </c>
      <c r="E273" s="5" t="n">
        <f aca="false">IF(INDEX('Running Order'!$B$2:$B$225,B273)="Y",INDEX('Running Order'!$E$2:$E$225,B273),0)</f>
        <v>6.94444444444444E-005</v>
      </c>
      <c r="F273" s="6" t="n">
        <f aca="false">(A273-1)*Summary!$B$5+INDEX('Running Order'!$F$2:$F$225,B273)</f>
        <v>46296.4474884259</v>
      </c>
      <c r="G273" s="6" t="n">
        <f aca="false">F273+E273</f>
        <v>46296.4475578704</v>
      </c>
      <c r="H273" s="24" t="str">
        <f aca="false">IF(INDEX('Running Order'!$B$2:$B$225,B273)="Y","on air","dropped")</f>
        <v>on air</v>
      </c>
      <c r="I273" s="24" t="str">
        <f aca="false">IF(F273&lt;Summary!$B$4+1,"yes","")</f>
        <v>yes</v>
      </c>
    </row>
    <row r="274" customFormat="false" ht="15" hidden="false" customHeight="false" outlineLevel="0" collapsed="false">
      <c r="A274" s="24" t="n">
        <f aca="false">INT((ROW()-2)/Summary!$B$8)+1</f>
        <v>2</v>
      </c>
      <c r="B274" s="24" t="n">
        <f aca="false">MOD(ROW()-2,Summary!$B$8)+1</f>
        <v>49</v>
      </c>
      <c r="C274" s="24" t="str">
        <f aca="false">INDEX('Running Order'!$C$2:$C$225,B274)</f>
        <v>KIVO VIDEO</v>
      </c>
      <c r="D274" s="24" t="str">
        <f aca="false">INDEX('Running Order'!$D$2:$D$225,B274)</f>
        <v>Commercial</v>
      </c>
      <c r="E274" s="5" t="n">
        <f aca="false">IF(INDEX('Running Order'!$B$2:$B$225,B274)="Y",INDEX('Running Order'!$E$2:$E$225,B274),0)</f>
        <v>0.000520833333333333</v>
      </c>
      <c r="F274" s="6" t="n">
        <f aca="false">(A274-1)*Summary!$B$5+INDEX('Running Order'!$F$2:$F$225,B274)</f>
        <v>46296.4475578704</v>
      </c>
      <c r="G274" s="6" t="n">
        <f aca="false">F274+E274</f>
        <v>46296.4480787037</v>
      </c>
      <c r="H274" s="24" t="str">
        <f aca="false">IF(INDEX('Running Order'!$B$2:$B$225,B274)="Y","on air","dropped")</f>
        <v>on air</v>
      </c>
      <c r="I274" s="24" t="str">
        <f aca="false">IF(F274&lt;Summary!$B$4+1,"yes","")</f>
        <v>yes</v>
      </c>
    </row>
    <row r="275" customFormat="false" ht="15" hidden="false" customHeight="false" outlineLevel="0" collapsed="false">
      <c r="A275" s="24" t="n">
        <f aca="false">INT((ROW()-2)/Summary!$B$8)+1</f>
        <v>2</v>
      </c>
      <c r="B275" s="24" t="n">
        <f aca="false">MOD(ROW()-2,Summary!$B$8)+1</f>
        <v>50</v>
      </c>
      <c r="C275" s="24" t="str">
        <f aca="false">INDEX('Running Order'!$C$2:$C$225,B275)</f>
        <v>NEW AND IMPROVED GINO MAX CHICKEN</v>
      </c>
      <c r="D275" s="24" t="str">
        <f aca="false">INDEX('Running Order'!$D$2:$D$225,B275)</f>
        <v>Commercial</v>
      </c>
      <c r="E275" s="5" t="n">
        <f aca="false">IF(INDEX('Running Order'!$B$2:$B$225,B275)="Y",INDEX('Running Order'!$E$2:$E$225,B275),0)</f>
        <v>0.000520833333333333</v>
      </c>
      <c r="F275" s="6" t="n">
        <f aca="false">(A275-1)*Summary!$B$5+INDEX('Running Order'!$F$2:$F$225,B275)</f>
        <v>46296.4480787037</v>
      </c>
      <c r="G275" s="6" t="n">
        <f aca="false">F275+E275</f>
        <v>46296.448599537</v>
      </c>
      <c r="H275" s="24" t="str">
        <f aca="false">IF(INDEX('Running Order'!$B$2:$B$225,B275)="Y","on air","dropped")</f>
        <v>on air</v>
      </c>
      <c r="I275" s="24" t="str">
        <f aca="false">IF(F275&lt;Summary!$B$4+1,"yes","")</f>
        <v>yes</v>
      </c>
    </row>
    <row r="276" customFormat="false" ht="15" hidden="false" customHeight="false" outlineLevel="0" collapsed="false">
      <c r="A276" s="24" t="n">
        <f aca="false">INT((ROW()-2)/Summary!$B$8)+1</f>
        <v>2</v>
      </c>
      <c r="B276" s="24" t="n">
        <f aca="false">MOD(ROW()-2,Summary!$B$8)+1</f>
        <v>51</v>
      </c>
      <c r="C276" s="24" t="str">
        <f aca="false">INDEX('Running Order'!$C$2:$C$225,B276)</f>
        <v>GOLDEN MOM</v>
      </c>
      <c r="D276" s="24" t="str">
        <f aca="false">INDEX('Running Order'!$D$2:$D$225,B276)</f>
        <v>Commercial</v>
      </c>
      <c r="E276" s="5" t="n">
        <f aca="false">IF(INDEX('Running Order'!$B$2:$B$225,B276)="Y",INDEX('Running Order'!$E$2:$E$225,B276),0)</f>
        <v>0.000636574074074074</v>
      </c>
      <c r="F276" s="6" t="n">
        <f aca="false">(A276-1)*Summary!$B$5+INDEX('Running Order'!$F$2:$F$225,B276)</f>
        <v>46296.448599537</v>
      </c>
      <c r="G276" s="6" t="n">
        <f aca="false">F276+E276</f>
        <v>46296.4492361111</v>
      </c>
      <c r="H276" s="24" t="str">
        <f aca="false">IF(INDEX('Running Order'!$B$2:$B$225,B276)="Y","on air","dropped")</f>
        <v>on air</v>
      </c>
      <c r="I276" s="24" t="str">
        <f aca="false">IF(F276&lt;Summary!$B$4+1,"yes","")</f>
        <v>yes</v>
      </c>
    </row>
    <row r="277" customFormat="false" ht="15" hidden="false" customHeight="false" outlineLevel="0" collapsed="false">
      <c r="A277" s="24" t="n">
        <f aca="false">INT((ROW()-2)/Summary!$B$8)+1</f>
        <v>2</v>
      </c>
      <c r="B277" s="24" t="n">
        <f aca="false">MOD(ROW()-2,Summary!$B$8)+1</f>
        <v>52</v>
      </c>
      <c r="C277" s="24" t="str">
        <f aca="false">INDEX('Running Order'!$C$2:$C$225,B277)</f>
        <v>FOOD SHOUTOUTS</v>
      </c>
      <c r="D277" s="24" t="str">
        <f aca="false">INDEX('Running Order'!$D$2:$D$225,B277)</f>
        <v>Short</v>
      </c>
      <c r="E277" s="5" t="n">
        <f aca="false">IF(INDEX('Running Order'!$B$2:$B$225,B277)="Y",INDEX('Running Order'!$E$2:$E$225,B277),0)</f>
        <v>0.000902777777777778</v>
      </c>
      <c r="F277" s="6" t="n">
        <f aca="false">(A277-1)*Summary!$B$5+INDEX('Running Order'!$F$2:$F$225,B277)</f>
        <v>46296.4492361111</v>
      </c>
      <c r="G277" s="6" t="n">
        <f aca="false">F277+E277</f>
        <v>46296.4501388889</v>
      </c>
      <c r="H277" s="24" t="str">
        <f aca="false">IF(INDEX('Running Order'!$B$2:$B$225,B277)="Y","on air","dropped")</f>
        <v>on air</v>
      </c>
      <c r="I277" s="24" t="str">
        <f aca="false">IF(F277&lt;Summary!$B$4+1,"yes","")</f>
        <v>yes</v>
      </c>
    </row>
    <row r="278" customFormat="false" ht="15" hidden="false" customHeight="false" outlineLevel="0" collapsed="false">
      <c r="A278" s="24" t="n">
        <f aca="false">INT((ROW()-2)/Summary!$B$8)+1</f>
        <v>2</v>
      </c>
      <c r="B278" s="24" t="n">
        <f aca="false">MOD(ROW()-2,Summary!$B$8)+1</f>
        <v>53</v>
      </c>
      <c r="C278" s="24" t="str">
        <f aca="false">INDEX('Running Order'!$C$2:$C$225,B278)</f>
        <v>CHANNEL MONTAGE</v>
      </c>
      <c r="D278" s="24" t="str">
        <f aca="false">INDEX('Running Order'!$D$2:$D$225,B278)</f>
        <v>Montage</v>
      </c>
      <c r="E278" s="5" t="n">
        <f aca="false">IF(INDEX('Running Order'!$B$2:$B$225,B278)="Y",INDEX('Running Order'!$E$2:$E$225,B278),0)</f>
        <v>0.000115740740740741</v>
      </c>
      <c r="F278" s="6" t="n">
        <f aca="false">(A278-1)*Summary!$B$5+INDEX('Running Order'!$F$2:$F$225,B278)</f>
        <v>46296.4501388889</v>
      </c>
      <c r="G278" s="6" t="n">
        <f aca="false">F278+E278</f>
        <v>46296.4502546296</v>
      </c>
      <c r="H278" s="24" t="str">
        <f aca="false">IF(INDEX('Running Order'!$B$2:$B$225,B278)="Y","on air","dropped")</f>
        <v>on air</v>
      </c>
      <c r="I278" s="24" t="str">
        <f aca="false">IF(F278&lt;Summary!$B$4+1,"yes","")</f>
        <v>yes</v>
      </c>
    </row>
    <row r="279" customFormat="false" ht="15" hidden="false" customHeight="false" outlineLevel="0" collapsed="false">
      <c r="A279" s="24" t="n">
        <f aca="false">INT((ROW()-2)/Summary!$B$8)+1</f>
        <v>2</v>
      </c>
      <c r="B279" s="24" t="n">
        <f aca="false">MOD(ROW()-2,Summary!$B$8)+1</f>
        <v>54</v>
      </c>
      <c r="C279" s="24" t="str">
        <f aca="false">INDEX('Running Order'!$C$2:$C$225,B279)</f>
        <v>GREEN FIELDS AFRICA LEKKI FARMS</v>
      </c>
      <c r="D279" s="24" t="str">
        <f aca="false">INDEX('Running Order'!$D$2:$D$225,B279)</f>
        <v>Programme</v>
      </c>
      <c r="E279" s="5" t="n">
        <f aca="false">IF(INDEX('Running Order'!$B$2:$B$225,B279)="Y",INDEX('Running Order'!$E$2:$E$225,B279),0)</f>
        <v>0.0167013888888889</v>
      </c>
      <c r="F279" s="6" t="n">
        <f aca="false">(A279-1)*Summary!$B$5+INDEX('Running Order'!$F$2:$F$225,B279)</f>
        <v>46296.4502546296</v>
      </c>
      <c r="G279" s="6" t="n">
        <f aca="false">F279+E279</f>
        <v>46296.4669560185</v>
      </c>
      <c r="H279" s="24" t="str">
        <f aca="false">IF(INDEX('Running Order'!$B$2:$B$225,B279)="Y","on air","dropped")</f>
        <v>on air</v>
      </c>
      <c r="I279" s="24" t="str">
        <f aca="false">IF(F279&lt;Summary!$B$4+1,"yes","")</f>
        <v>yes</v>
      </c>
    </row>
    <row r="280" customFormat="false" ht="15" hidden="false" customHeight="false" outlineLevel="0" collapsed="false">
      <c r="A280" s="24" t="n">
        <f aca="false">INT((ROW()-2)/Summary!$B$8)+1</f>
        <v>2</v>
      </c>
      <c r="B280" s="24" t="n">
        <f aca="false">MOD(ROW()-2,Summary!$B$8)+1</f>
        <v>55</v>
      </c>
      <c r="C280" s="24" t="str">
        <f aca="false">INDEX('Running Order'!$C$2:$C$225,B280)</f>
        <v>TATTSETV COFFE STINGS</v>
      </c>
      <c r="D280" s="24" t="str">
        <f aca="false">INDEX('Running Order'!$D$2:$D$225,B280)</f>
        <v>Sting</v>
      </c>
      <c r="E280" s="5" t="n">
        <f aca="false">IF(INDEX('Running Order'!$B$2:$B$225,B280)="Y",INDEX('Running Order'!$E$2:$E$225,B280),0)</f>
        <v>9.25925925925926E-005</v>
      </c>
      <c r="F280" s="6" t="n">
        <f aca="false">(A280-1)*Summary!$B$5+INDEX('Running Order'!$F$2:$F$225,B280)</f>
        <v>46296.4669560185</v>
      </c>
      <c r="G280" s="6" t="n">
        <f aca="false">F280+E280</f>
        <v>46296.4670486111</v>
      </c>
      <c r="H280" s="24" t="str">
        <f aca="false">IF(INDEX('Running Order'!$B$2:$B$225,B280)="Y","on air","dropped")</f>
        <v>on air</v>
      </c>
      <c r="I280" s="24" t="str">
        <f aca="false">IF(F280&lt;Summary!$B$4+1,"yes","")</f>
        <v>yes</v>
      </c>
    </row>
    <row r="281" customFormat="false" ht="15" hidden="false" customHeight="false" outlineLevel="0" collapsed="false">
      <c r="A281" s="24" t="n">
        <f aca="false">INT((ROW()-2)/Summary!$B$8)+1</f>
        <v>2</v>
      </c>
      <c r="B281" s="24" t="n">
        <f aca="false">MOD(ROW()-2,Summary!$B$8)+1</f>
        <v>56</v>
      </c>
      <c r="C281" s="24" t="str">
        <f aca="false">INDEX('Running Order'!$C$2:$C$225,B281)</f>
        <v>AMOR AND CUPID</v>
      </c>
      <c r="D281" s="24" t="str">
        <f aca="false">INDEX('Running Order'!$D$2:$D$225,B281)</f>
        <v>Short</v>
      </c>
      <c r="E281" s="5" t="n">
        <f aca="false">IF(INDEX('Running Order'!$B$2:$B$225,B281)="Y",INDEX('Running Order'!$E$2:$E$225,B281),0)</f>
        <v>0.00099537037037037</v>
      </c>
      <c r="F281" s="6" t="n">
        <f aca="false">(A281-1)*Summary!$B$5+INDEX('Running Order'!$F$2:$F$225,B281)</f>
        <v>46296.4670486111</v>
      </c>
      <c r="G281" s="6" t="n">
        <f aca="false">F281+E281</f>
        <v>46296.4680439815</v>
      </c>
      <c r="H281" s="24" t="str">
        <f aca="false">IF(INDEX('Running Order'!$B$2:$B$225,B281)="Y","on air","dropped")</f>
        <v>on air</v>
      </c>
      <c r="I281" s="24" t="str">
        <f aca="false">IF(F281&lt;Summary!$B$4+1,"yes","")</f>
        <v>yes</v>
      </c>
    </row>
    <row r="282" customFormat="false" ht="15" hidden="false" customHeight="false" outlineLevel="0" collapsed="false">
      <c r="A282" s="24" t="n">
        <f aca="false">INT((ROW()-2)/Summary!$B$8)+1</f>
        <v>2</v>
      </c>
      <c r="B282" s="24" t="n">
        <f aca="false">MOD(ROW()-2,Summary!$B$8)+1</f>
        <v>57</v>
      </c>
      <c r="C282" s="24" t="str">
        <f aca="false">INDEX('Running Order'!$C$2:$C$225,B282)</f>
        <v>KNOR JOLLOF FEST ABUJA</v>
      </c>
      <c r="D282" s="24" t="str">
        <f aca="false">INDEX('Running Order'!$D$2:$D$225,B282)</f>
        <v>Short</v>
      </c>
      <c r="E282" s="5" t="n">
        <f aca="false">IF(INDEX('Running Order'!$B$2:$B$225,B282)="Y",INDEX('Running Order'!$E$2:$E$225,B282),0)</f>
        <v>0.00138888888888889</v>
      </c>
      <c r="F282" s="6" t="n">
        <f aca="false">(A282-1)*Summary!$B$5+INDEX('Running Order'!$F$2:$F$225,B282)</f>
        <v>46296.4680439815</v>
      </c>
      <c r="G282" s="6" t="n">
        <f aca="false">F282+E282</f>
        <v>46296.4694328704</v>
      </c>
      <c r="H282" s="24" t="str">
        <f aca="false">IF(INDEX('Running Order'!$B$2:$B$225,B282)="Y","on air","dropped")</f>
        <v>on air</v>
      </c>
      <c r="I282" s="24" t="str">
        <f aca="false">IF(F282&lt;Summary!$B$4+1,"yes","")</f>
        <v>yes</v>
      </c>
    </row>
    <row r="283" customFormat="false" ht="15" hidden="false" customHeight="false" outlineLevel="0" collapsed="false">
      <c r="A283" s="24" t="n">
        <f aca="false">INT((ROW()-2)/Summary!$B$8)+1</f>
        <v>2</v>
      </c>
      <c r="B283" s="24" t="n">
        <f aca="false">MOD(ROW()-2,Summary!$B$8)+1</f>
        <v>58</v>
      </c>
      <c r="C283" s="24" t="str">
        <f aca="false">INDEX('Running Order'!$C$2:$C$225,B283)</f>
        <v>OLAM ANIMAL FEEDS BUSINESS</v>
      </c>
      <c r="D283" s="24" t="str">
        <f aca="false">INDEX('Running Order'!$D$2:$D$225,B283)</f>
        <v>Programme</v>
      </c>
      <c r="E283" s="5" t="n">
        <f aca="false">IF(INDEX('Running Order'!$B$2:$B$225,B283)="Y",INDEX('Running Order'!$E$2:$E$225,B283),0)</f>
        <v>0.00508101851851852</v>
      </c>
      <c r="F283" s="6" t="n">
        <f aca="false">(A283-1)*Summary!$B$5+INDEX('Running Order'!$F$2:$F$225,B283)</f>
        <v>46296.4694328704</v>
      </c>
      <c r="G283" s="6" t="n">
        <f aca="false">F283+E283</f>
        <v>46296.4745138889</v>
      </c>
      <c r="H283" s="24" t="str">
        <f aca="false">IF(INDEX('Running Order'!$B$2:$B$225,B283)="Y","on air","dropped")</f>
        <v>on air</v>
      </c>
      <c r="I283" s="24" t="str">
        <f aca="false">IF(F283&lt;Summary!$B$4+1,"yes","")</f>
        <v>yes</v>
      </c>
    </row>
    <row r="284" customFormat="false" ht="15" hidden="false" customHeight="false" outlineLevel="0" collapsed="false">
      <c r="A284" s="24" t="n">
        <f aca="false">INT((ROW()-2)/Summary!$B$8)+1</f>
        <v>2</v>
      </c>
      <c r="B284" s="24" t="n">
        <f aca="false">MOD(ROW()-2,Summary!$B$8)+1</f>
        <v>59</v>
      </c>
      <c r="C284" s="24" t="str">
        <f aca="false">INDEX('Running Order'!$C$2:$C$225,B284)</f>
        <v>CHANNEL STINGS</v>
      </c>
      <c r="D284" s="24" t="str">
        <f aca="false">INDEX('Running Order'!$D$2:$D$225,B284)</f>
        <v>Sting</v>
      </c>
      <c r="E284" s="5" t="n">
        <f aca="false">IF(INDEX('Running Order'!$B$2:$B$225,B284)="Y",INDEX('Running Order'!$E$2:$E$225,B284),0)</f>
        <v>6.94444444444444E-005</v>
      </c>
      <c r="F284" s="6" t="n">
        <f aca="false">(A284-1)*Summary!$B$5+INDEX('Running Order'!$F$2:$F$225,B284)</f>
        <v>46296.4745138889</v>
      </c>
      <c r="G284" s="6" t="n">
        <f aca="false">F284+E284</f>
        <v>46296.4745833333</v>
      </c>
      <c r="H284" s="24" t="str">
        <f aca="false">IF(INDEX('Running Order'!$B$2:$B$225,B284)="Y","on air","dropped")</f>
        <v>on air</v>
      </c>
      <c r="I284" s="24" t="str">
        <f aca="false">IF(F284&lt;Summary!$B$4+1,"yes","")</f>
        <v>yes</v>
      </c>
    </row>
    <row r="285" customFormat="false" ht="15" hidden="false" customHeight="false" outlineLevel="0" collapsed="false">
      <c r="A285" s="24" t="n">
        <f aca="false">INT((ROW()-2)/Summary!$B$8)+1</f>
        <v>2</v>
      </c>
      <c r="B285" s="24" t="n">
        <f aca="false">MOD(ROW()-2,Summary!$B$8)+1</f>
        <v>60</v>
      </c>
      <c r="C285" s="24" t="str">
        <f aca="false">INDEX('Running Order'!$C$2:$C$225,B285)</f>
        <v>ORAL B VALUE NEW</v>
      </c>
      <c r="D285" s="24" t="str">
        <f aca="false">INDEX('Running Order'!$D$2:$D$225,B285)</f>
        <v>Commercial</v>
      </c>
      <c r="E285" s="5" t="n">
        <f aca="false">IF(INDEX('Running Order'!$B$2:$B$225,B285)="Y",INDEX('Running Order'!$E$2:$E$225,B285),0)</f>
        <v>0.000347222222222222</v>
      </c>
      <c r="F285" s="6" t="n">
        <f aca="false">(A285-1)*Summary!$B$5+INDEX('Running Order'!$F$2:$F$225,B285)</f>
        <v>46296.4745833333</v>
      </c>
      <c r="G285" s="6" t="n">
        <f aca="false">F285+E285</f>
        <v>46296.4749305556</v>
      </c>
      <c r="H285" s="24" t="str">
        <f aca="false">IF(INDEX('Running Order'!$B$2:$B$225,B285)="Y","on air","dropped")</f>
        <v>on air</v>
      </c>
      <c r="I285" s="24" t="str">
        <f aca="false">IF(F285&lt;Summary!$B$4+1,"yes","")</f>
        <v>yes</v>
      </c>
    </row>
    <row r="286" customFormat="false" ht="15" hidden="false" customHeight="false" outlineLevel="0" collapsed="false">
      <c r="A286" s="24" t="n">
        <f aca="false">INT((ROW()-2)/Summary!$B$8)+1</f>
        <v>2</v>
      </c>
      <c r="B286" s="24" t="n">
        <f aca="false">MOD(ROW()-2,Summary!$B$8)+1</f>
        <v>61</v>
      </c>
      <c r="C286" s="24" t="str">
        <f aca="false">INDEX('Running Order'!$C$2:$C$225,B286)</f>
        <v>TERRA CUBE COMMERCIAL</v>
      </c>
      <c r="D286" s="24" t="str">
        <f aca="false">INDEX('Running Order'!$D$2:$D$225,B286)</f>
        <v>Commercial</v>
      </c>
      <c r="E286" s="5" t="n">
        <f aca="false">IF(INDEX('Running Order'!$B$2:$B$225,B286)="Y",INDEX('Running Order'!$E$2:$E$225,B286),0)</f>
        <v>0.000694444444444445</v>
      </c>
      <c r="F286" s="6" t="n">
        <f aca="false">(A286-1)*Summary!$B$5+INDEX('Running Order'!$F$2:$F$225,B286)</f>
        <v>46296.4749305556</v>
      </c>
      <c r="G286" s="6" t="n">
        <f aca="false">F286+E286</f>
        <v>46296.475625</v>
      </c>
      <c r="H286" s="24" t="str">
        <f aca="false">IF(INDEX('Running Order'!$B$2:$B$225,B286)="Y","on air","dropped")</f>
        <v>on air</v>
      </c>
      <c r="I286" s="24" t="str">
        <f aca="false">IF(F286&lt;Summary!$B$4+1,"yes","")</f>
        <v>yes</v>
      </c>
    </row>
    <row r="287" customFormat="false" ht="15" hidden="false" customHeight="false" outlineLevel="0" collapsed="false">
      <c r="A287" s="24" t="n">
        <f aca="false">INT((ROW()-2)/Summary!$B$8)+1</f>
        <v>2</v>
      </c>
      <c r="B287" s="24" t="n">
        <f aca="false">MOD(ROW()-2,Summary!$B$8)+1</f>
        <v>62</v>
      </c>
      <c r="C287" s="24" t="str">
        <f aca="false">INDEX('Running Order'!$C$2:$C$225,B287)</f>
        <v>CHANNEL MONTAGE</v>
      </c>
      <c r="D287" s="24" t="str">
        <f aca="false">INDEX('Running Order'!$D$2:$D$225,B287)</f>
        <v>Montage</v>
      </c>
      <c r="E287" s="5" t="n">
        <f aca="false">IF(INDEX('Running Order'!$B$2:$B$225,B287)="Y",INDEX('Running Order'!$E$2:$E$225,B287),0)</f>
        <v>0.000115740740740741</v>
      </c>
      <c r="F287" s="6" t="n">
        <f aca="false">(A287-1)*Summary!$B$5+INDEX('Running Order'!$F$2:$F$225,B287)</f>
        <v>46296.475625</v>
      </c>
      <c r="G287" s="6" t="n">
        <f aca="false">F287+E287</f>
        <v>46296.4757407407</v>
      </c>
      <c r="H287" s="24" t="str">
        <f aca="false">IF(INDEX('Running Order'!$B$2:$B$225,B287)="Y","on air","dropped")</f>
        <v>on air</v>
      </c>
      <c r="I287" s="24" t="str">
        <f aca="false">IF(F287&lt;Summary!$B$4+1,"yes","")</f>
        <v>yes</v>
      </c>
    </row>
    <row r="288" customFormat="false" ht="15" hidden="false" customHeight="false" outlineLevel="0" collapsed="false">
      <c r="A288" s="24" t="n">
        <f aca="false">INT((ROW()-2)/Summary!$B$8)+1</f>
        <v>2</v>
      </c>
      <c r="B288" s="24" t="n">
        <f aca="false">MOD(ROW()-2,Summary!$B$8)+1</f>
        <v>63</v>
      </c>
      <c r="C288" s="24" t="str">
        <f aca="false">INDEX('Running Order'!$C$2:$C$225,B288)</f>
        <v>BREAKFAST AFRICA</v>
      </c>
      <c r="D288" s="24" t="str">
        <f aca="false">INDEX('Running Order'!$D$2:$D$225,B288)</f>
        <v>Short</v>
      </c>
      <c r="E288" s="5" t="n">
        <f aca="false">IF(INDEX('Running Order'!$B$2:$B$225,B288)="Y",INDEX('Running Order'!$E$2:$E$225,B288),0)</f>
        <v>0.000439814814814815</v>
      </c>
      <c r="F288" s="6" t="n">
        <f aca="false">(A288-1)*Summary!$B$5+INDEX('Running Order'!$F$2:$F$225,B288)</f>
        <v>46296.4757407407</v>
      </c>
      <c r="G288" s="6" t="n">
        <f aca="false">F288+E288</f>
        <v>46296.4761805556</v>
      </c>
      <c r="H288" s="24" t="str">
        <f aca="false">IF(INDEX('Running Order'!$B$2:$B$225,B288)="Y","on air","dropped")</f>
        <v>on air</v>
      </c>
      <c r="I288" s="24" t="str">
        <f aca="false">IF(F288&lt;Summary!$B$4+1,"yes","")</f>
        <v>yes</v>
      </c>
    </row>
    <row r="289" customFormat="false" ht="15" hidden="false" customHeight="false" outlineLevel="0" collapsed="false">
      <c r="A289" s="24" t="n">
        <f aca="false">INT((ROW()-2)/Summary!$B$8)+1</f>
        <v>2</v>
      </c>
      <c r="B289" s="24" t="n">
        <f aca="false">MOD(ROW()-2,Summary!$B$8)+1</f>
        <v>64</v>
      </c>
      <c r="C289" s="24" t="str">
        <f aca="false">INDEX('Running Order'!$C$2:$C$225,B289)</f>
        <v>LUNCH BOX COMING SOON</v>
      </c>
      <c r="D289" s="24" t="str">
        <f aca="false">INDEX('Running Order'!$D$2:$D$225,B289)</f>
        <v>Promo</v>
      </c>
      <c r="E289" s="5" t="n">
        <f aca="false">IF(INDEX('Running Order'!$B$2:$B$225,B289)="Y",INDEX('Running Order'!$E$2:$E$225,B289),0)</f>
        <v>0.000277777777777778</v>
      </c>
      <c r="F289" s="6" t="n">
        <f aca="false">(A289-1)*Summary!$B$5+INDEX('Running Order'!$F$2:$F$225,B289)</f>
        <v>46296.4761805556</v>
      </c>
      <c r="G289" s="6" t="n">
        <f aca="false">F289+E289</f>
        <v>46296.4764583333</v>
      </c>
      <c r="H289" s="24" t="str">
        <f aca="false">IF(INDEX('Running Order'!$B$2:$B$225,B289)="Y","on air","dropped")</f>
        <v>on air</v>
      </c>
      <c r="I289" s="24" t="str">
        <f aca="false">IF(F289&lt;Summary!$B$4+1,"yes","")</f>
        <v>yes</v>
      </c>
    </row>
    <row r="290" customFormat="false" ht="15" hidden="false" customHeight="false" outlineLevel="0" collapsed="false">
      <c r="A290" s="24" t="n">
        <f aca="false">INT((ROW()-2)/Summary!$B$8)+1</f>
        <v>2</v>
      </c>
      <c r="B290" s="24" t="n">
        <f aca="false">MOD(ROW()-2,Summary!$B$8)+1</f>
        <v>65</v>
      </c>
      <c r="C290" s="24" t="str">
        <f aca="false">INDEX('Running Order'!$C$2:$C$225,B290)</f>
        <v>GTCO FOOD&amp;DRINK FOR TV3</v>
      </c>
      <c r="D290" s="24" t="str">
        <f aca="false">INDEX('Running Order'!$D$2:$D$225,B290)</f>
        <v>Short</v>
      </c>
      <c r="E290" s="5" t="n">
        <f aca="false">IF(INDEX('Running Order'!$B$2:$B$225,B290)="Y",INDEX('Running Order'!$E$2:$E$225,B290),0)</f>
        <v>0.00152777777777778</v>
      </c>
      <c r="F290" s="6" t="n">
        <f aca="false">(A290-1)*Summary!$B$5+INDEX('Running Order'!$F$2:$F$225,B290)</f>
        <v>46296.4764583333</v>
      </c>
      <c r="G290" s="6" t="n">
        <f aca="false">F290+E290</f>
        <v>46296.4779861111</v>
      </c>
      <c r="H290" s="24" t="str">
        <f aca="false">IF(INDEX('Running Order'!$B$2:$B$225,B290)="Y","on air","dropped")</f>
        <v>on air</v>
      </c>
      <c r="I290" s="24" t="str">
        <f aca="false">IF(F290&lt;Summary!$B$4+1,"yes","")</f>
        <v>yes</v>
      </c>
    </row>
    <row r="291" customFormat="false" ht="15" hidden="false" customHeight="false" outlineLevel="0" collapsed="false">
      <c r="A291" s="24" t="n">
        <f aca="false">INT((ROW()-2)/Summary!$B$8)+1</f>
        <v>2</v>
      </c>
      <c r="B291" s="24" t="n">
        <f aca="false">MOD(ROW()-2,Summary!$B$8)+1</f>
        <v>66</v>
      </c>
      <c r="C291" s="24" t="str">
        <f aca="false">INDEX('Running Order'!$C$2:$C$225,B291)</f>
        <v>TATTASE TV STING</v>
      </c>
      <c r="D291" s="24" t="str">
        <f aca="false">INDEX('Running Order'!$D$2:$D$225,B291)</f>
        <v>Sting</v>
      </c>
      <c r="E291" s="5" t="n">
        <f aca="false">IF(INDEX('Running Order'!$B$2:$B$225,B291)="Y",INDEX('Running Order'!$E$2:$E$225,B291),0)</f>
        <v>6.94444444444444E-005</v>
      </c>
      <c r="F291" s="6" t="n">
        <f aca="false">(A291-1)*Summary!$B$5+INDEX('Running Order'!$F$2:$F$225,B291)</f>
        <v>46296.4779861111</v>
      </c>
      <c r="G291" s="6" t="n">
        <f aca="false">F291+E291</f>
        <v>46296.4780555556</v>
      </c>
      <c r="H291" s="24" t="str">
        <f aca="false">IF(INDEX('Running Order'!$B$2:$B$225,B291)="Y","on air","dropped")</f>
        <v>on air</v>
      </c>
      <c r="I291" s="24" t="str">
        <f aca="false">IF(F291&lt;Summary!$B$4+1,"yes","")</f>
        <v>yes</v>
      </c>
    </row>
    <row r="292" customFormat="false" ht="15" hidden="false" customHeight="false" outlineLevel="0" collapsed="false">
      <c r="A292" s="24" t="n">
        <f aca="false">INT((ROW()-2)/Summary!$B$8)+1</f>
        <v>2</v>
      </c>
      <c r="B292" s="24" t="n">
        <f aca="false">MOD(ROW()-2,Summary!$B$8)+1</f>
        <v>67</v>
      </c>
      <c r="C292" s="24" t="str">
        <f aca="false">INDEX('Running Order'!$C$2:$C$225,B292)</f>
        <v>BEST TIMES TO HAVE BREAKFAST, LUNCH &amp; DINNER</v>
      </c>
      <c r="D292" s="24" t="str">
        <f aca="false">INDEX('Running Order'!$D$2:$D$225,B292)</f>
        <v>Programme</v>
      </c>
      <c r="E292" s="5" t="n">
        <f aca="false">IF(INDEX('Running Order'!$B$2:$B$225,B292)="Y",INDEX('Running Order'!$E$2:$E$225,B292),0)</f>
        <v>0.0158680555555556</v>
      </c>
      <c r="F292" s="6" t="n">
        <f aca="false">(A292-1)*Summary!$B$5+INDEX('Running Order'!$F$2:$F$225,B292)</f>
        <v>46296.4780555556</v>
      </c>
      <c r="G292" s="6" t="n">
        <f aca="false">F292+E292</f>
        <v>46296.4939236111</v>
      </c>
      <c r="H292" s="24" t="str">
        <f aca="false">IF(INDEX('Running Order'!$B$2:$B$225,B292)="Y","on air","dropped")</f>
        <v>on air</v>
      </c>
      <c r="I292" s="24" t="str">
        <f aca="false">IF(F292&lt;Summary!$B$4+1,"yes","")</f>
        <v>yes</v>
      </c>
    </row>
    <row r="293" customFormat="false" ht="15" hidden="false" customHeight="false" outlineLevel="0" collapsed="false">
      <c r="A293" s="24" t="n">
        <f aca="false">INT((ROW()-2)/Summary!$B$8)+1</f>
        <v>2</v>
      </c>
      <c r="B293" s="24" t="n">
        <f aca="false">MOD(ROW()-2,Summary!$B$8)+1</f>
        <v>68</v>
      </c>
      <c r="C293" s="24" t="str">
        <f aca="false">INDEX('Running Order'!$C$2:$C$225,B293)</f>
        <v>HALAL EXPO FOR TV</v>
      </c>
      <c r="D293" s="24" t="str">
        <f aca="false">INDEX('Running Order'!$D$2:$D$225,B293)</f>
        <v>Short</v>
      </c>
      <c r="E293" s="5" t="n">
        <f aca="false">IF(INDEX('Running Order'!$B$2:$B$225,B293)="Y",INDEX('Running Order'!$E$2:$E$225,B293),0)</f>
        <v>0.000543981481481481</v>
      </c>
      <c r="F293" s="6" t="n">
        <f aca="false">(A293-1)*Summary!$B$5+INDEX('Running Order'!$F$2:$F$225,B293)</f>
        <v>46296.4939236111</v>
      </c>
      <c r="G293" s="6" t="n">
        <f aca="false">F293+E293</f>
        <v>46296.4944675926</v>
      </c>
      <c r="H293" s="24" t="str">
        <f aca="false">IF(INDEX('Running Order'!$B$2:$B$225,B293)="Y","on air","dropped")</f>
        <v>on air</v>
      </c>
      <c r="I293" s="24" t="str">
        <f aca="false">IF(F293&lt;Summary!$B$4+1,"yes","")</f>
        <v>yes</v>
      </c>
    </row>
    <row r="294" customFormat="false" ht="15" hidden="false" customHeight="false" outlineLevel="0" collapsed="false">
      <c r="A294" s="24" t="n">
        <f aca="false">INT((ROW()-2)/Summary!$B$8)+1</f>
        <v>2</v>
      </c>
      <c r="B294" s="24" t="n">
        <f aca="false">MOD(ROW()-2,Summary!$B$8)+1</f>
        <v>69</v>
      </c>
      <c r="C294" s="24" t="str">
        <f aca="false">INDEX('Running Order'!$C$2:$C$225,B294)</f>
        <v>CHANNEL MONTAGE</v>
      </c>
      <c r="D294" s="24" t="str">
        <f aca="false">INDEX('Running Order'!$D$2:$D$225,B294)</f>
        <v>Montage</v>
      </c>
      <c r="E294" s="5" t="n">
        <f aca="false">IF(INDEX('Running Order'!$B$2:$B$225,B294)="Y",INDEX('Running Order'!$E$2:$E$225,B294),0)</f>
        <v>0.000115740740740741</v>
      </c>
      <c r="F294" s="6" t="n">
        <f aca="false">(A294-1)*Summary!$B$5+INDEX('Running Order'!$F$2:$F$225,B294)</f>
        <v>46296.4944675926</v>
      </c>
      <c r="G294" s="6" t="n">
        <f aca="false">F294+E294</f>
        <v>46296.4945833333</v>
      </c>
      <c r="H294" s="24" t="str">
        <f aca="false">IF(INDEX('Running Order'!$B$2:$B$225,B294)="Y","on air","dropped")</f>
        <v>on air</v>
      </c>
      <c r="I294" s="24" t="str">
        <f aca="false">IF(F294&lt;Summary!$B$4+1,"yes","")</f>
        <v>yes</v>
      </c>
    </row>
    <row r="295" customFormat="false" ht="15" hidden="false" customHeight="false" outlineLevel="0" collapsed="false">
      <c r="A295" s="24" t="n">
        <f aca="false">INT((ROW()-2)/Summary!$B$8)+1</f>
        <v>2</v>
      </c>
      <c r="B295" s="24" t="n">
        <f aca="false">MOD(ROW()-2,Summary!$B$8)+1</f>
        <v>70</v>
      </c>
      <c r="C295" s="24" t="str">
        <f aca="false">INDEX('Running Order'!$C$2:$C$225,B295)</f>
        <v>DANO N HILDA COMMERCIAL</v>
      </c>
      <c r="D295" s="24" t="str">
        <f aca="false">INDEX('Running Order'!$D$2:$D$225,B295)</f>
        <v>Commercial</v>
      </c>
      <c r="E295" s="5" t="n">
        <f aca="false">IF(INDEX('Running Order'!$B$2:$B$225,B295)="Y",INDEX('Running Order'!$E$2:$E$225,B295),0)</f>
        <v>0.00099537037037037</v>
      </c>
      <c r="F295" s="6" t="n">
        <f aca="false">(A295-1)*Summary!$B$5+INDEX('Running Order'!$F$2:$F$225,B295)</f>
        <v>46296.4945833333</v>
      </c>
      <c r="G295" s="6" t="n">
        <f aca="false">F295+E295</f>
        <v>46296.4955787037</v>
      </c>
      <c r="H295" s="24" t="str">
        <f aca="false">IF(INDEX('Running Order'!$B$2:$B$225,B295)="Y","on air","dropped")</f>
        <v>on air</v>
      </c>
      <c r="I295" s="24" t="str">
        <f aca="false">IF(F295&lt;Summary!$B$4+1,"yes","")</f>
        <v>yes</v>
      </c>
    </row>
    <row r="296" customFormat="false" ht="15" hidden="false" customHeight="false" outlineLevel="0" collapsed="false">
      <c r="A296" s="24" t="n">
        <f aca="false">INT((ROW()-2)/Summary!$B$8)+1</f>
        <v>2</v>
      </c>
      <c r="B296" s="24" t="n">
        <f aca="false">MOD(ROW()-2,Summary!$B$8)+1</f>
        <v>71</v>
      </c>
      <c r="C296" s="24" t="str">
        <f aca="false">INDEX('Running Order'!$C$2:$C$225,B296)</f>
        <v>COCA-COLA RECPE FOR WONDER</v>
      </c>
      <c r="D296" s="24" t="str">
        <f aca="false">INDEX('Running Order'!$D$2:$D$225,B296)</f>
        <v>Short</v>
      </c>
      <c r="E296" s="5" t="n">
        <f aca="false">IF(INDEX('Running Order'!$B$2:$B$225,B296)="Y",INDEX('Running Order'!$E$2:$E$225,B296),0)</f>
        <v>0.000347222222222222</v>
      </c>
      <c r="F296" s="6" t="n">
        <f aca="false">(A296-1)*Summary!$B$5+INDEX('Running Order'!$F$2:$F$225,B296)</f>
        <v>46296.4955787037</v>
      </c>
      <c r="G296" s="6" t="n">
        <f aca="false">F296+E296</f>
        <v>46296.4959259259</v>
      </c>
      <c r="H296" s="24" t="str">
        <f aca="false">IF(INDEX('Running Order'!$B$2:$B$225,B296)="Y","on air","dropped")</f>
        <v>on air</v>
      </c>
      <c r="I296" s="24" t="str">
        <f aca="false">IF(F296&lt;Summary!$B$4+1,"yes","")</f>
        <v>yes</v>
      </c>
    </row>
    <row r="297" customFormat="false" ht="15" hidden="false" customHeight="false" outlineLevel="0" collapsed="false">
      <c r="A297" s="24" t="n">
        <f aca="false">INT((ROW()-2)/Summary!$B$8)+1</f>
        <v>2</v>
      </c>
      <c r="B297" s="24" t="n">
        <f aca="false">MOD(ROW()-2,Summary!$B$8)+1</f>
        <v>72</v>
      </c>
      <c r="C297" s="24" t="str">
        <f aca="false">INDEX('Running Order'!$C$2:$C$225,B297)</f>
        <v>FOOD MARTS</v>
      </c>
      <c r="D297" s="24" t="str">
        <f aca="false">INDEX('Running Order'!$D$2:$D$225,B297)</f>
        <v>Short</v>
      </c>
      <c r="E297" s="5" t="n">
        <f aca="false">IF(INDEX('Running Order'!$B$2:$B$225,B297)="Y",INDEX('Running Order'!$E$2:$E$225,B297),0)</f>
        <v>0.000428240740740741</v>
      </c>
      <c r="F297" s="6" t="n">
        <f aca="false">(A297-1)*Summary!$B$5+INDEX('Running Order'!$F$2:$F$225,B297)</f>
        <v>46296.4959259259</v>
      </c>
      <c r="G297" s="6" t="n">
        <f aca="false">F297+E297</f>
        <v>46296.4963541667</v>
      </c>
      <c r="H297" s="24" t="str">
        <f aca="false">IF(INDEX('Running Order'!$B$2:$B$225,B297)="Y","on air","dropped")</f>
        <v>on air</v>
      </c>
      <c r="I297" s="24" t="str">
        <f aca="false">IF(F297&lt;Summary!$B$4+1,"yes","")</f>
        <v>yes</v>
      </c>
    </row>
    <row r="298" customFormat="false" ht="15" hidden="false" customHeight="false" outlineLevel="0" collapsed="false">
      <c r="A298" s="24" t="n">
        <f aca="false">INT((ROW()-2)/Summary!$B$8)+1</f>
        <v>2</v>
      </c>
      <c r="B298" s="24" t="n">
        <f aca="false">MOD(ROW()-2,Summary!$B$8)+1</f>
        <v>73</v>
      </c>
      <c r="C298" s="24" t="str">
        <f aca="false">INDEX('Running Order'!$C$2:$C$225,B298)</f>
        <v>TATTASE TV STING</v>
      </c>
      <c r="D298" s="24" t="str">
        <f aca="false">INDEX('Running Order'!$D$2:$D$225,B298)</f>
        <v>Sting</v>
      </c>
      <c r="E298" s="5" t="n">
        <f aca="false">IF(INDEX('Running Order'!$B$2:$B$225,B298)="Y",INDEX('Running Order'!$E$2:$E$225,B298),0)</f>
        <v>6.94444444444444E-005</v>
      </c>
      <c r="F298" s="6" t="n">
        <f aca="false">(A298-1)*Summary!$B$5+INDEX('Running Order'!$F$2:$F$225,B298)</f>
        <v>46296.4963541667</v>
      </c>
      <c r="G298" s="6" t="n">
        <f aca="false">F298+E298</f>
        <v>46296.4964236111</v>
      </c>
      <c r="H298" s="24" t="str">
        <f aca="false">IF(INDEX('Running Order'!$B$2:$B$225,B298)="Y","on air","dropped")</f>
        <v>on air</v>
      </c>
      <c r="I298" s="24" t="str">
        <f aca="false">IF(F298&lt;Summary!$B$4+1,"yes","")</f>
        <v>yes</v>
      </c>
    </row>
    <row r="299" customFormat="false" ht="15" hidden="false" customHeight="false" outlineLevel="0" collapsed="false">
      <c r="A299" s="24" t="n">
        <f aca="false">INT((ROW()-2)/Summary!$B$8)+1</f>
        <v>2</v>
      </c>
      <c r="B299" s="24" t="n">
        <f aca="false">MOD(ROW()-2,Summary!$B$8)+1</f>
        <v>74</v>
      </c>
      <c r="C299" s="24" t="str">
        <f aca="false">INDEX('Running Order'!$C$2:$C$225,B299)</f>
        <v>COOL KIDS CAN COOK</v>
      </c>
      <c r="D299" s="24" t="str">
        <f aca="false">INDEX('Running Order'!$D$2:$D$225,B299)</f>
        <v>Programme</v>
      </c>
      <c r="E299" s="5" t="n">
        <f aca="false">IF(INDEX('Running Order'!$B$2:$B$225,B299)="Y",INDEX('Running Order'!$E$2:$E$225,B299),0)</f>
        <v>0.00424768518518519</v>
      </c>
      <c r="F299" s="6" t="n">
        <f aca="false">(A299-1)*Summary!$B$5+INDEX('Running Order'!$F$2:$F$225,B299)</f>
        <v>46296.4964236111</v>
      </c>
      <c r="G299" s="6" t="n">
        <f aca="false">F299+E299</f>
        <v>46296.5006712963</v>
      </c>
      <c r="H299" s="24" t="str">
        <f aca="false">IF(INDEX('Running Order'!$B$2:$B$225,B299)="Y","on air","dropped")</f>
        <v>on air</v>
      </c>
      <c r="I299" s="24" t="str">
        <f aca="false">IF(F299&lt;Summary!$B$4+1,"yes","")</f>
        <v>yes</v>
      </c>
    </row>
    <row r="300" customFormat="false" ht="15" hidden="false" customHeight="false" outlineLevel="0" collapsed="false">
      <c r="A300" s="24" t="n">
        <f aca="false">INT((ROW()-2)/Summary!$B$8)+1</f>
        <v>2</v>
      </c>
      <c r="B300" s="24" t="n">
        <f aca="false">MOD(ROW()-2,Summary!$B$8)+1</f>
        <v>75</v>
      </c>
      <c r="C300" s="24" t="str">
        <f aca="false">INDEX('Running Order'!$C$2:$C$225,B300)</f>
        <v>SHAYO AFRICA</v>
      </c>
      <c r="D300" s="24" t="str">
        <f aca="false">INDEX('Running Order'!$D$2:$D$225,B300)</f>
        <v>Short</v>
      </c>
      <c r="E300" s="5" t="n">
        <f aca="false">IF(INDEX('Running Order'!$B$2:$B$225,B300)="Y",INDEX('Running Order'!$E$2:$E$225,B300),0)</f>
        <v>0.000347222222222222</v>
      </c>
      <c r="F300" s="6" t="n">
        <f aca="false">(A300-1)*Summary!$B$5+INDEX('Running Order'!$F$2:$F$225,B300)</f>
        <v>46296.5006712963</v>
      </c>
      <c r="G300" s="6" t="n">
        <f aca="false">F300+E300</f>
        <v>46296.5010185185</v>
      </c>
      <c r="H300" s="24" t="str">
        <f aca="false">IF(INDEX('Running Order'!$B$2:$B$225,B300)="Y","on air","dropped")</f>
        <v>on air</v>
      </c>
      <c r="I300" s="24" t="str">
        <f aca="false">IF(F300&lt;Summary!$B$4+1,"yes","")</f>
        <v>yes</v>
      </c>
    </row>
    <row r="301" customFormat="false" ht="15" hidden="false" customHeight="false" outlineLevel="0" collapsed="false">
      <c r="A301" s="24" t="n">
        <f aca="false">INT((ROW()-2)/Summary!$B$8)+1</f>
        <v>2</v>
      </c>
      <c r="B301" s="24" t="n">
        <f aca="false">MOD(ROW()-2,Summary!$B$8)+1</f>
        <v>76</v>
      </c>
      <c r="C301" s="24" t="str">
        <f aca="false">INDEX('Running Order'!$C$2:$C$225,B301)</f>
        <v>FOODPRENEUR</v>
      </c>
      <c r="D301" s="24" t="str">
        <f aca="false">INDEX('Running Order'!$D$2:$D$225,B301)</f>
        <v>Short</v>
      </c>
      <c r="E301" s="5" t="n">
        <f aca="false">IF(INDEX('Running Order'!$B$2:$B$225,B301)="Y",INDEX('Running Order'!$E$2:$E$225,B301),0)</f>
        <v>0.000347222222222222</v>
      </c>
      <c r="F301" s="6" t="n">
        <f aca="false">(A301-1)*Summary!$B$5+INDEX('Running Order'!$F$2:$F$225,B301)</f>
        <v>46296.5010185185</v>
      </c>
      <c r="G301" s="6" t="n">
        <f aca="false">F301+E301</f>
        <v>46296.5013657407</v>
      </c>
      <c r="H301" s="24" t="str">
        <f aca="false">IF(INDEX('Running Order'!$B$2:$B$225,B301)="Y","on air","dropped")</f>
        <v>on air</v>
      </c>
      <c r="I301" s="24" t="str">
        <f aca="false">IF(F301&lt;Summary!$B$4+1,"yes","")</f>
        <v>yes</v>
      </c>
    </row>
    <row r="302" customFormat="false" ht="15" hidden="false" customHeight="false" outlineLevel="0" collapsed="false">
      <c r="A302" s="24" t="n">
        <f aca="false">INT((ROW()-2)/Summary!$B$8)+1</f>
        <v>2</v>
      </c>
      <c r="B302" s="24" t="n">
        <f aca="false">MOD(ROW()-2,Summary!$B$8)+1</f>
        <v>77</v>
      </c>
      <c r="C302" s="24" t="str">
        <f aca="false">INDEX('Running Order'!$C$2:$C$225,B302)</f>
        <v>TATTASETV COFFEE STING</v>
      </c>
      <c r="D302" s="24" t="str">
        <f aca="false">INDEX('Running Order'!$D$2:$D$225,B302)</f>
        <v>Sting</v>
      </c>
      <c r="E302" s="5" t="n">
        <f aca="false">IF(INDEX('Running Order'!$B$2:$B$225,B302)="Y",INDEX('Running Order'!$E$2:$E$225,B302),0)</f>
        <v>6.94444444444444E-005</v>
      </c>
      <c r="F302" s="6" t="n">
        <f aca="false">(A302-1)*Summary!$B$5+INDEX('Running Order'!$F$2:$F$225,B302)</f>
        <v>46296.5013657407</v>
      </c>
      <c r="G302" s="6" t="n">
        <f aca="false">F302+E302</f>
        <v>46296.5014351852</v>
      </c>
      <c r="H302" s="24" t="str">
        <f aca="false">IF(INDEX('Running Order'!$B$2:$B$225,B302)="Y","on air","dropped")</f>
        <v>on air</v>
      </c>
      <c r="I302" s="24" t="str">
        <f aca="false">IF(F302&lt;Summary!$B$4+1,"yes","")</f>
        <v>yes</v>
      </c>
    </row>
    <row r="303" customFormat="false" ht="15" hidden="false" customHeight="false" outlineLevel="0" collapsed="false">
      <c r="A303" s="24" t="n">
        <f aca="false">INT((ROW()-2)/Summary!$B$8)+1</f>
        <v>2</v>
      </c>
      <c r="B303" s="24" t="n">
        <f aca="false">MOD(ROW()-2,Summary!$B$8)+1</f>
        <v>78</v>
      </c>
      <c r="C303" s="24" t="str">
        <f aca="false">INDEX('Running Order'!$C$2:$C$225,B303)</f>
        <v>CHANNEL MONTAGE</v>
      </c>
      <c r="D303" s="24" t="str">
        <f aca="false">INDEX('Running Order'!$D$2:$D$225,B303)</f>
        <v>Montage</v>
      </c>
      <c r="E303" s="5" t="n">
        <f aca="false">IF(INDEX('Running Order'!$B$2:$B$225,B303)="Y",INDEX('Running Order'!$E$2:$E$225,B303),0)</f>
        <v>0.000115740740740741</v>
      </c>
      <c r="F303" s="6" t="n">
        <f aca="false">(A303-1)*Summary!$B$5+INDEX('Running Order'!$F$2:$F$225,B303)</f>
        <v>46296.5014351852</v>
      </c>
      <c r="G303" s="6" t="n">
        <f aca="false">F303+E303</f>
        <v>46296.5015509259</v>
      </c>
      <c r="H303" s="24" t="str">
        <f aca="false">IF(INDEX('Running Order'!$B$2:$B$225,B303)="Y","on air","dropped")</f>
        <v>on air</v>
      </c>
      <c r="I303" s="24" t="str">
        <f aca="false">IF(F303&lt;Summary!$B$4+1,"yes","")</f>
        <v>yes</v>
      </c>
    </row>
    <row r="304" customFormat="false" ht="15" hidden="false" customHeight="false" outlineLevel="0" collapsed="false">
      <c r="A304" s="24" t="n">
        <f aca="false">INT((ROW()-2)/Summary!$B$8)+1</f>
        <v>2</v>
      </c>
      <c r="B304" s="24" t="n">
        <f aca="false">MOD(ROW()-2,Summary!$B$8)+1</f>
        <v>79</v>
      </c>
      <c r="C304" s="24" t="str">
        <f aca="false">INDEX('Running Order'!$C$2:$C$225,B304)</f>
        <v>HOW TO MAKE JOLLOF RICE THE NAIJA WAY</v>
      </c>
      <c r="D304" s="24" t="str">
        <f aca="false">INDEX('Running Order'!$D$2:$D$225,B304)</f>
        <v>Short</v>
      </c>
      <c r="E304" s="5" t="n">
        <f aca="false">IF(INDEX('Running Order'!$B$2:$B$225,B304)="Y",INDEX('Running Order'!$E$2:$E$225,B304),0)</f>
        <v>0.000694444444444445</v>
      </c>
      <c r="F304" s="6" t="n">
        <f aca="false">(A304-1)*Summary!$B$5+INDEX('Running Order'!$F$2:$F$225,B304)</f>
        <v>46296.5015509259</v>
      </c>
      <c r="G304" s="6" t="n">
        <f aca="false">F304+E304</f>
        <v>46296.5022453704</v>
      </c>
      <c r="H304" s="24" t="str">
        <f aca="false">IF(INDEX('Running Order'!$B$2:$B$225,B304)="Y","on air","dropped")</f>
        <v>on air</v>
      </c>
      <c r="I304" s="24" t="str">
        <f aca="false">IF(F304&lt;Summary!$B$4+1,"yes","")</f>
        <v>yes</v>
      </c>
    </row>
    <row r="305" customFormat="false" ht="15" hidden="false" customHeight="false" outlineLevel="0" collapsed="false">
      <c r="A305" s="24" t="n">
        <f aca="false">INT((ROW()-2)/Summary!$B$8)+1</f>
        <v>2</v>
      </c>
      <c r="B305" s="24" t="n">
        <f aca="false">MOD(ROW()-2,Summary!$B$8)+1</f>
        <v>80</v>
      </c>
      <c r="C305" s="24" t="str">
        <f aca="false">INDEX('Running Order'!$C$2:$C$225,B305)</f>
        <v>CHIVITA ADVERT</v>
      </c>
      <c r="D305" s="24" t="str">
        <f aca="false">INDEX('Running Order'!$D$2:$D$225,B305)</f>
        <v>Commercial</v>
      </c>
      <c r="E305" s="5" t="n">
        <f aca="false">IF(INDEX('Running Order'!$B$2:$B$225,B305)="Y",INDEX('Running Order'!$E$2:$E$225,B305),0)</f>
        <v>0.00292824074074074</v>
      </c>
      <c r="F305" s="6" t="n">
        <f aca="false">(A305-1)*Summary!$B$5+INDEX('Running Order'!$F$2:$F$225,B305)</f>
        <v>46296.5022453704</v>
      </c>
      <c r="G305" s="6" t="n">
        <f aca="false">F305+E305</f>
        <v>46296.5051736111</v>
      </c>
      <c r="H305" s="24" t="str">
        <f aca="false">IF(INDEX('Running Order'!$B$2:$B$225,B305)="Y","on air","dropped")</f>
        <v>on air</v>
      </c>
      <c r="I305" s="24" t="str">
        <f aca="false">IF(F305&lt;Summary!$B$4+1,"yes","")</f>
        <v>yes</v>
      </c>
    </row>
    <row r="306" customFormat="false" ht="15" hidden="false" customHeight="false" outlineLevel="0" collapsed="false">
      <c r="A306" s="24" t="n">
        <f aca="false">INT((ROW()-2)/Summary!$B$8)+1</f>
        <v>2</v>
      </c>
      <c r="B306" s="24" t="n">
        <f aca="false">MOD(ROW()-2,Summary!$B$8)+1</f>
        <v>81</v>
      </c>
      <c r="C306" s="24" t="str">
        <f aca="false">INDEX('Running Order'!$C$2:$C$225,B306)</f>
        <v>SALAD MASTER SET NO LOGO</v>
      </c>
      <c r="D306" s="24" t="str">
        <f aca="false">INDEX('Running Order'!$D$2:$D$225,B306)</f>
        <v>Short</v>
      </c>
      <c r="E306" s="5" t="n">
        <f aca="false">IF(INDEX('Running Order'!$B$2:$B$225,B306)="Y",INDEX('Running Order'!$E$2:$E$225,B306),0)</f>
        <v>0.00087962962962963</v>
      </c>
      <c r="F306" s="6" t="n">
        <f aca="false">(A306-1)*Summary!$B$5+INDEX('Running Order'!$F$2:$F$225,B306)</f>
        <v>46296.5051736111</v>
      </c>
      <c r="G306" s="6" t="n">
        <f aca="false">F306+E306</f>
        <v>46296.5060532407</v>
      </c>
      <c r="H306" s="24" t="str">
        <f aca="false">IF(INDEX('Running Order'!$B$2:$B$225,B306)="Y","on air","dropped")</f>
        <v>on air</v>
      </c>
      <c r="I306" s="24" t="str">
        <f aca="false">IF(F306&lt;Summary!$B$4+1,"yes","")</f>
        <v>yes</v>
      </c>
    </row>
    <row r="307" customFormat="false" ht="15" hidden="false" customHeight="false" outlineLevel="0" collapsed="false">
      <c r="A307" s="24" t="n">
        <f aca="false">INT((ROW()-2)/Summary!$B$8)+1</f>
        <v>2</v>
      </c>
      <c r="B307" s="24" t="n">
        <f aca="false">MOD(ROW()-2,Summary!$B$8)+1</f>
        <v>82</v>
      </c>
      <c r="C307" s="24" t="str">
        <f aca="false">INDEX('Running Order'!$C$2:$C$225,B307)</f>
        <v>TATTASE TV STING</v>
      </c>
      <c r="D307" s="24" t="str">
        <f aca="false">INDEX('Running Order'!$D$2:$D$225,B307)</f>
        <v>Sting</v>
      </c>
      <c r="E307" s="5" t="n">
        <f aca="false">IF(INDEX('Running Order'!$B$2:$B$225,B307)="Y",INDEX('Running Order'!$E$2:$E$225,B307),0)</f>
        <v>6.94444444444444E-005</v>
      </c>
      <c r="F307" s="6" t="n">
        <f aca="false">(A307-1)*Summary!$B$5+INDEX('Running Order'!$F$2:$F$225,B307)</f>
        <v>46296.5060532407</v>
      </c>
      <c r="G307" s="6" t="n">
        <f aca="false">F307+E307</f>
        <v>46296.5061226852</v>
      </c>
      <c r="H307" s="24" t="str">
        <f aca="false">IF(INDEX('Running Order'!$B$2:$B$225,B307)="Y","on air","dropped")</f>
        <v>on air</v>
      </c>
      <c r="I307" s="24" t="str">
        <f aca="false">IF(F307&lt;Summary!$B$4+1,"yes","")</f>
        <v>yes</v>
      </c>
    </row>
    <row r="308" customFormat="false" ht="15" hidden="false" customHeight="false" outlineLevel="0" collapsed="false">
      <c r="A308" s="24" t="n">
        <f aca="false">INT((ROW()-2)/Summary!$B$8)+1</f>
        <v>2</v>
      </c>
      <c r="B308" s="24" t="n">
        <f aca="false">MOD(ROW()-2,Summary!$B$8)+1</f>
        <v>83</v>
      </c>
      <c r="C308" s="24" t="str">
        <f aca="false">INDEX('Running Order'!$C$2:$C$225,B308)</f>
        <v>MAGGI OSETIGO EP1</v>
      </c>
      <c r="D308" s="24" t="str">
        <f aca="false">INDEX('Running Order'!$D$2:$D$225,B308)</f>
        <v>Programme</v>
      </c>
      <c r="E308" s="5" t="n">
        <f aca="false">IF(INDEX('Running Order'!$B$2:$B$225,B308)="Y",INDEX('Running Order'!$E$2:$E$225,B308),0)</f>
        <v>0.0192013888888889</v>
      </c>
      <c r="F308" s="6" t="n">
        <f aca="false">(A308-1)*Summary!$B$5+INDEX('Running Order'!$F$2:$F$225,B308)</f>
        <v>46296.5061226852</v>
      </c>
      <c r="G308" s="6" t="n">
        <f aca="false">F308+E308</f>
        <v>46296.5253240741</v>
      </c>
      <c r="H308" s="24" t="str">
        <f aca="false">IF(INDEX('Running Order'!$B$2:$B$225,B308)="Y","on air","dropped")</f>
        <v>on air</v>
      </c>
      <c r="I308" s="24" t="str">
        <f aca="false">IF(F308&lt;Summary!$B$4+1,"yes","")</f>
        <v>yes</v>
      </c>
    </row>
    <row r="309" customFormat="false" ht="15" hidden="false" customHeight="false" outlineLevel="0" collapsed="false">
      <c r="A309" s="24" t="n">
        <f aca="false">INT((ROW()-2)/Summary!$B$8)+1</f>
        <v>2</v>
      </c>
      <c r="B309" s="24" t="n">
        <f aca="false">MOD(ROW()-2,Summary!$B$8)+1</f>
        <v>84</v>
      </c>
      <c r="C309" s="24" t="str">
        <f aca="false">INDEX('Running Order'!$C$2:$C$225,B309)</f>
        <v>COKE STUDIO SCAN AND WIN</v>
      </c>
      <c r="D309" s="24" t="str">
        <f aca="false">INDEX('Running Order'!$D$2:$D$225,B309)</f>
        <v>Commercial</v>
      </c>
      <c r="E309" s="5" t="n">
        <f aca="false">IF(INDEX('Running Order'!$B$2:$B$225,B309)="Y",INDEX('Running Order'!$E$2:$E$225,B309),0)</f>
        <v>0.000358796296296296</v>
      </c>
      <c r="F309" s="6" t="n">
        <f aca="false">(A309-1)*Summary!$B$5+INDEX('Running Order'!$F$2:$F$225,B309)</f>
        <v>46296.5253240741</v>
      </c>
      <c r="G309" s="6" t="n">
        <f aca="false">F309+E309</f>
        <v>46296.5256828704</v>
      </c>
      <c r="H309" s="24" t="str">
        <f aca="false">IF(INDEX('Running Order'!$B$2:$B$225,B309)="Y","on air","dropped")</f>
        <v>on air</v>
      </c>
      <c r="I309" s="24" t="str">
        <f aca="false">IF(F309&lt;Summary!$B$4+1,"yes","")</f>
        <v>yes</v>
      </c>
    </row>
    <row r="310" customFormat="false" ht="15" hidden="false" customHeight="false" outlineLevel="0" collapsed="false">
      <c r="A310" s="24" t="n">
        <f aca="false">INT((ROW()-2)/Summary!$B$8)+1</f>
        <v>2</v>
      </c>
      <c r="B310" s="24" t="n">
        <f aca="false">MOD(ROW()-2,Summary!$B$8)+1</f>
        <v>85</v>
      </c>
      <c r="C310" s="24" t="str">
        <f aca="false">INDEX('Running Order'!$C$2:$C$225,B310)</f>
        <v>LIPTON ADVERTS</v>
      </c>
      <c r="D310" s="24" t="str">
        <f aca="false">INDEX('Running Order'!$D$2:$D$225,B310)</f>
        <v>Commercial</v>
      </c>
      <c r="E310" s="5" t="n">
        <f aca="false">IF(INDEX('Running Order'!$B$2:$B$225,B310)="Y",INDEX('Running Order'!$E$2:$E$225,B310),0)</f>
        <v>6.94444444444444E-005</v>
      </c>
      <c r="F310" s="6" t="n">
        <f aca="false">(A310-1)*Summary!$B$5+INDEX('Running Order'!$F$2:$F$225,B310)</f>
        <v>46296.5256828704</v>
      </c>
      <c r="G310" s="6" t="n">
        <f aca="false">F310+E310</f>
        <v>46296.5257523148</v>
      </c>
      <c r="H310" s="24" t="str">
        <f aca="false">IF(INDEX('Running Order'!$B$2:$B$225,B310)="Y","on air","dropped")</f>
        <v>on air</v>
      </c>
      <c r="I310" s="24" t="str">
        <f aca="false">IF(F310&lt;Summary!$B$4+1,"yes","")</f>
        <v>yes</v>
      </c>
    </row>
    <row r="311" customFormat="false" ht="15" hidden="false" customHeight="false" outlineLevel="0" collapsed="false">
      <c r="A311" s="24" t="n">
        <f aca="false">INT((ROW()-2)/Summary!$B$8)+1</f>
        <v>2</v>
      </c>
      <c r="B311" s="24" t="n">
        <f aca="false">MOD(ROW()-2,Summary!$B$8)+1</f>
        <v>86</v>
      </c>
      <c r="C311" s="24" t="str">
        <f aca="false">INDEX('Running Order'!$C$2:$C$225,B311)</f>
        <v>CHANNEL MONTAGE</v>
      </c>
      <c r="D311" s="24" t="str">
        <f aca="false">INDEX('Running Order'!$D$2:$D$225,B311)</f>
        <v>Montage</v>
      </c>
      <c r="E311" s="5" t="n">
        <f aca="false">IF(INDEX('Running Order'!$B$2:$B$225,B311)="Y",INDEX('Running Order'!$E$2:$E$225,B311),0)</f>
        <v>0.000115740740740741</v>
      </c>
      <c r="F311" s="6" t="n">
        <f aca="false">(A311-1)*Summary!$B$5+INDEX('Running Order'!$F$2:$F$225,B311)</f>
        <v>46296.5257523148</v>
      </c>
      <c r="G311" s="6" t="n">
        <f aca="false">F311+E311</f>
        <v>46296.5258680556</v>
      </c>
      <c r="H311" s="24" t="str">
        <f aca="false">IF(INDEX('Running Order'!$B$2:$B$225,B311)="Y","on air","dropped")</f>
        <v>on air</v>
      </c>
      <c r="I311" s="24" t="str">
        <f aca="false">IF(F311&lt;Summary!$B$4+1,"yes","")</f>
        <v>yes</v>
      </c>
    </row>
    <row r="312" customFormat="false" ht="15" hidden="false" customHeight="false" outlineLevel="0" collapsed="false">
      <c r="A312" s="24" t="n">
        <f aca="false">INT((ROW()-2)/Summary!$B$8)+1</f>
        <v>2</v>
      </c>
      <c r="B312" s="24" t="n">
        <f aca="false">MOD(ROW()-2,Summary!$B$8)+1</f>
        <v>87</v>
      </c>
      <c r="C312" s="24" t="str">
        <f aca="false">INDEX('Running Order'!$C$2:$C$225,B312)</f>
        <v>AGRO FOOD DAY 1</v>
      </c>
      <c r="D312" s="24" t="str">
        <f aca="false">INDEX('Running Order'!$D$2:$D$225,B312)</f>
        <v>Programme</v>
      </c>
      <c r="E312" s="5" t="n">
        <f aca="false">IF(INDEX('Running Order'!$B$2:$B$225,B312)="Y",INDEX('Running Order'!$E$2:$E$225,B312),0)</f>
        <v>0.0228587962962963</v>
      </c>
      <c r="F312" s="6" t="n">
        <f aca="false">(A312-1)*Summary!$B$5+INDEX('Running Order'!$F$2:$F$225,B312)</f>
        <v>46296.5258680556</v>
      </c>
      <c r="G312" s="6" t="n">
        <f aca="false">F312+E312</f>
        <v>46296.5487268519</v>
      </c>
      <c r="H312" s="24" t="str">
        <f aca="false">IF(INDEX('Running Order'!$B$2:$B$225,B312)="Y","on air","dropped")</f>
        <v>on air</v>
      </c>
      <c r="I312" s="24" t="str">
        <f aca="false">IF(F312&lt;Summary!$B$4+1,"yes","")</f>
        <v>yes</v>
      </c>
    </row>
    <row r="313" customFormat="false" ht="15" hidden="false" customHeight="false" outlineLevel="0" collapsed="false">
      <c r="A313" s="24" t="n">
        <f aca="false">INT((ROW()-2)/Summary!$B$8)+1</f>
        <v>2</v>
      </c>
      <c r="B313" s="24" t="n">
        <f aca="false">MOD(ROW()-2,Summary!$B$8)+1</f>
        <v>88</v>
      </c>
      <c r="C313" s="24" t="str">
        <f aca="false">INDEX('Running Order'!$C$2:$C$225,B313)</f>
        <v>ORAL B VALUE NEW</v>
      </c>
      <c r="D313" s="24" t="str">
        <f aca="false">INDEX('Running Order'!$D$2:$D$225,B313)</f>
        <v>Commercial</v>
      </c>
      <c r="E313" s="5" t="n">
        <f aca="false">IF(INDEX('Running Order'!$B$2:$B$225,B313)="Y",INDEX('Running Order'!$E$2:$E$225,B313),0)</f>
        <v>0.000347222222222222</v>
      </c>
      <c r="F313" s="6" t="n">
        <f aca="false">(A313-1)*Summary!$B$5+INDEX('Running Order'!$F$2:$F$225,B313)</f>
        <v>46296.5487268519</v>
      </c>
      <c r="G313" s="6" t="n">
        <f aca="false">F313+E313</f>
        <v>46296.5490740741</v>
      </c>
      <c r="H313" s="24" t="str">
        <f aca="false">IF(INDEX('Running Order'!$B$2:$B$225,B313)="Y","on air","dropped")</f>
        <v>on air</v>
      </c>
      <c r="I313" s="24" t="str">
        <f aca="false">IF(F313&lt;Summary!$B$4+1,"yes","")</f>
        <v>yes</v>
      </c>
    </row>
    <row r="314" customFormat="false" ht="15" hidden="false" customHeight="false" outlineLevel="0" collapsed="false">
      <c r="A314" s="24" t="n">
        <f aca="false">INT((ROW()-2)/Summary!$B$8)+1</f>
        <v>2</v>
      </c>
      <c r="B314" s="24" t="n">
        <f aca="false">MOD(ROW()-2,Summary!$B$8)+1</f>
        <v>89</v>
      </c>
      <c r="C314" s="24" t="str">
        <f aca="false">INDEX('Running Order'!$C$2:$C$225,B314)</f>
        <v>TERRA CUBE COMMERCIAL</v>
      </c>
      <c r="D314" s="24" t="str">
        <f aca="false">INDEX('Running Order'!$D$2:$D$225,B314)</f>
        <v>Commercial</v>
      </c>
      <c r="E314" s="5" t="n">
        <f aca="false">IF(INDEX('Running Order'!$B$2:$B$225,B314)="Y",INDEX('Running Order'!$E$2:$E$225,B314),0)</f>
        <v>0.000694444444444445</v>
      </c>
      <c r="F314" s="6" t="n">
        <f aca="false">(A314-1)*Summary!$B$5+INDEX('Running Order'!$F$2:$F$225,B314)</f>
        <v>46296.5490740741</v>
      </c>
      <c r="G314" s="6" t="n">
        <f aca="false">F314+E314</f>
        <v>46296.5497685185</v>
      </c>
      <c r="H314" s="24" t="str">
        <f aca="false">IF(INDEX('Running Order'!$B$2:$B$225,B314)="Y","on air","dropped")</f>
        <v>on air</v>
      </c>
      <c r="I314" s="24" t="str">
        <f aca="false">IF(F314&lt;Summary!$B$4+1,"yes","")</f>
        <v>yes</v>
      </c>
    </row>
    <row r="315" customFormat="false" ht="15" hidden="false" customHeight="false" outlineLevel="0" collapsed="false">
      <c r="A315" s="24" t="n">
        <f aca="false">INT((ROW()-2)/Summary!$B$8)+1</f>
        <v>2</v>
      </c>
      <c r="B315" s="24" t="n">
        <f aca="false">MOD(ROW()-2,Summary!$B$8)+1</f>
        <v>90</v>
      </c>
      <c r="C315" s="24" t="str">
        <f aca="false">INDEX('Running Order'!$C$2:$C$225,B315)</f>
        <v>TATTASE TV STING</v>
      </c>
      <c r="D315" s="24" t="str">
        <f aca="false">INDEX('Running Order'!$D$2:$D$225,B315)</f>
        <v>Sting</v>
      </c>
      <c r="E315" s="5" t="n">
        <f aca="false">IF(INDEX('Running Order'!$B$2:$B$225,B315)="Y",INDEX('Running Order'!$E$2:$E$225,B315),0)</f>
        <v>6.94444444444444E-005</v>
      </c>
      <c r="F315" s="6" t="n">
        <f aca="false">(A315-1)*Summary!$B$5+INDEX('Running Order'!$F$2:$F$225,B315)</f>
        <v>46296.5497685185</v>
      </c>
      <c r="G315" s="6" t="n">
        <f aca="false">F315+E315</f>
        <v>46296.549837963</v>
      </c>
      <c r="H315" s="24" t="str">
        <f aca="false">IF(INDEX('Running Order'!$B$2:$B$225,B315)="Y","on air","dropped")</f>
        <v>on air</v>
      </c>
      <c r="I315" s="24" t="str">
        <f aca="false">IF(F315&lt;Summary!$B$4+1,"yes","")</f>
        <v>yes</v>
      </c>
    </row>
    <row r="316" customFormat="false" ht="15" hidden="false" customHeight="false" outlineLevel="0" collapsed="false">
      <c r="A316" s="24" t="n">
        <f aca="false">INT((ROW()-2)/Summary!$B$8)+1</f>
        <v>2</v>
      </c>
      <c r="B316" s="24" t="n">
        <f aca="false">MOD(ROW()-2,Summary!$B$8)+1</f>
        <v>91</v>
      </c>
      <c r="C316" s="24" t="str">
        <f aca="false">INDEX('Running Order'!$C$2:$C$225,B316)</f>
        <v>URBAN KITCHEN SHOW NEW</v>
      </c>
      <c r="D316" s="24" t="str">
        <f aca="false">INDEX('Running Order'!$D$2:$D$225,B316)</f>
        <v>Short</v>
      </c>
      <c r="E316" s="5" t="n">
        <f aca="false">IF(INDEX('Running Order'!$B$2:$B$225,B316)="Y",INDEX('Running Order'!$E$2:$E$225,B316),0)</f>
        <v>0.00068287037037037</v>
      </c>
      <c r="F316" s="6" t="n">
        <f aca="false">(A316-1)*Summary!$B$5+INDEX('Running Order'!$F$2:$F$225,B316)</f>
        <v>46296.549837963</v>
      </c>
      <c r="G316" s="6" t="n">
        <f aca="false">F316+E316</f>
        <v>46296.5505208333</v>
      </c>
      <c r="H316" s="24" t="str">
        <f aca="false">IF(INDEX('Running Order'!$B$2:$B$225,B316)="Y","on air","dropped")</f>
        <v>on air</v>
      </c>
      <c r="I316" s="24" t="str">
        <f aca="false">IF(F316&lt;Summary!$B$4+1,"yes","")</f>
        <v>yes</v>
      </c>
    </row>
    <row r="317" customFormat="false" ht="15" hidden="false" customHeight="false" outlineLevel="0" collapsed="false">
      <c r="A317" s="24" t="n">
        <f aca="false">INT((ROW()-2)/Summary!$B$8)+1</f>
        <v>2</v>
      </c>
      <c r="B317" s="24" t="n">
        <f aca="false">MOD(ROW()-2,Summary!$B$8)+1</f>
        <v>92</v>
      </c>
      <c r="C317" s="24" t="str">
        <f aca="false">INDEX('Running Order'!$C$2:$C$225,B317)</f>
        <v>ABUJA’S FINEST PLACES (AFP)</v>
      </c>
      <c r="D317" s="24" t="str">
        <f aca="false">INDEX('Running Order'!$D$2:$D$225,B317)</f>
        <v>Short</v>
      </c>
      <c r="E317" s="5" t="n">
        <f aca="false">IF(INDEX('Running Order'!$B$2:$B$225,B317)="Y",INDEX('Running Order'!$E$2:$E$225,B317),0)</f>
        <v>0.000486111111111111</v>
      </c>
      <c r="F317" s="6" t="n">
        <f aca="false">(A317-1)*Summary!$B$5+INDEX('Running Order'!$F$2:$F$225,B317)</f>
        <v>46296.5505208333</v>
      </c>
      <c r="G317" s="6" t="n">
        <f aca="false">F317+E317</f>
        <v>46296.5510069444</v>
      </c>
      <c r="H317" s="24" t="str">
        <f aca="false">IF(INDEX('Running Order'!$B$2:$B$225,B317)="Y","on air","dropped")</f>
        <v>on air</v>
      </c>
      <c r="I317" s="24" t="str">
        <f aca="false">IF(F317&lt;Summary!$B$4+1,"yes","")</f>
        <v>yes</v>
      </c>
    </row>
    <row r="318" customFormat="false" ht="15" hidden="false" customHeight="false" outlineLevel="0" collapsed="false">
      <c r="A318" s="24" t="n">
        <f aca="false">INT((ROW()-2)/Summary!$B$8)+1</f>
        <v>2</v>
      </c>
      <c r="B318" s="24" t="n">
        <f aca="false">MOD(ROW()-2,Summary!$B$8)+1</f>
        <v>93</v>
      </c>
      <c r="C318" s="24" t="str">
        <f aca="false">INDEX('Running Order'!$C$2:$C$225,B318)</f>
        <v>GUESS WHO’S COMING TO DINNER</v>
      </c>
      <c r="D318" s="24" t="str">
        <f aca="false">INDEX('Running Order'!$D$2:$D$225,B318)</f>
        <v>Short</v>
      </c>
      <c r="E318" s="5" t="n">
        <f aca="false">IF(INDEX('Running Order'!$B$2:$B$225,B318)="Y",INDEX('Running Order'!$E$2:$E$225,B318),0)</f>
        <v>0.000324074074074074</v>
      </c>
      <c r="F318" s="6" t="n">
        <f aca="false">(A318-1)*Summary!$B$5+INDEX('Running Order'!$F$2:$F$225,B318)</f>
        <v>46296.5510069444</v>
      </c>
      <c r="G318" s="6" t="n">
        <f aca="false">F318+E318</f>
        <v>46296.5513310185</v>
      </c>
      <c r="H318" s="24" t="str">
        <f aca="false">IF(INDEX('Running Order'!$B$2:$B$225,B318)="Y","on air","dropped")</f>
        <v>on air</v>
      </c>
      <c r="I318" s="24" t="str">
        <f aca="false">IF(F318&lt;Summary!$B$4+1,"yes","")</f>
        <v>yes</v>
      </c>
    </row>
    <row r="319" customFormat="false" ht="15" hidden="false" customHeight="false" outlineLevel="0" collapsed="false">
      <c r="A319" s="24" t="n">
        <f aca="false">INT((ROW()-2)/Summary!$B$8)+1</f>
        <v>2</v>
      </c>
      <c r="B319" s="24" t="n">
        <f aca="false">MOD(ROW()-2,Summary!$B$8)+1</f>
        <v>94</v>
      </c>
      <c r="C319" s="24" t="str">
        <f aca="false">INDEX('Running Order'!$C$2:$C$225,B319)</f>
        <v>CHANNEL MONTAGE</v>
      </c>
      <c r="D319" s="24" t="str">
        <f aca="false">INDEX('Running Order'!$D$2:$D$225,B319)</f>
        <v>Montage</v>
      </c>
      <c r="E319" s="5" t="n">
        <f aca="false">IF(INDEX('Running Order'!$B$2:$B$225,B319)="Y",INDEX('Running Order'!$E$2:$E$225,B319),0)</f>
        <v>0.000115740740740741</v>
      </c>
      <c r="F319" s="6" t="n">
        <f aca="false">(A319-1)*Summary!$B$5+INDEX('Running Order'!$F$2:$F$225,B319)</f>
        <v>46296.5513310185</v>
      </c>
      <c r="G319" s="6" t="n">
        <f aca="false">F319+E319</f>
        <v>46296.5514467593</v>
      </c>
      <c r="H319" s="24" t="str">
        <f aca="false">IF(INDEX('Running Order'!$B$2:$B$225,B319)="Y","on air","dropped")</f>
        <v>on air</v>
      </c>
      <c r="I319" s="24" t="str">
        <f aca="false">IF(F319&lt;Summary!$B$4+1,"yes","")</f>
        <v>yes</v>
      </c>
    </row>
    <row r="320" customFormat="false" ht="15" hidden="false" customHeight="false" outlineLevel="0" collapsed="false">
      <c r="A320" s="24" t="n">
        <f aca="false">INT((ROW()-2)/Summary!$B$8)+1</f>
        <v>2</v>
      </c>
      <c r="B320" s="24" t="n">
        <f aca="false">MOD(ROW()-2,Summary!$B$8)+1</f>
        <v>95</v>
      </c>
      <c r="C320" s="24" t="str">
        <f aca="false">INDEX('Running Order'!$C$2:$C$225,B320)</f>
        <v>ARIEL DETERGENT COMMERCIAL</v>
      </c>
      <c r="D320" s="24" t="str">
        <f aca="false">INDEX('Running Order'!$D$2:$D$225,B320)</f>
        <v>Commercial</v>
      </c>
      <c r="E320" s="5" t="n">
        <f aca="false">IF(INDEX('Running Order'!$B$2:$B$225,B320)="Y",INDEX('Running Order'!$E$2:$E$225,B320),0)</f>
        <v>0.000347222222222222</v>
      </c>
      <c r="F320" s="6" t="n">
        <f aca="false">(A320-1)*Summary!$B$5+INDEX('Running Order'!$F$2:$F$225,B320)</f>
        <v>46296.5514467593</v>
      </c>
      <c r="G320" s="6" t="n">
        <f aca="false">F320+E320</f>
        <v>46296.5517939815</v>
      </c>
      <c r="H320" s="24" t="str">
        <f aca="false">IF(INDEX('Running Order'!$B$2:$B$225,B320)="Y","on air","dropped")</f>
        <v>on air</v>
      </c>
      <c r="I320" s="24" t="str">
        <f aca="false">IF(F320&lt;Summary!$B$4+1,"yes","")</f>
        <v>yes</v>
      </c>
    </row>
    <row r="321" customFormat="false" ht="15" hidden="false" customHeight="false" outlineLevel="0" collapsed="false">
      <c r="A321" s="24" t="n">
        <f aca="false">INT((ROW()-2)/Summary!$B$8)+1</f>
        <v>2</v>
      </c>
      <c r="B321" s="24" t="n">
        <f aca="false">MOD(ROW()-2,Summary!$B$8)+1</f>
        <v>96</v>
      </c>
      <c r="C321" s="24" t="str">
        <f aca="false">INDEX('Running Order'!$C$2:$C$225,B321)</f>
        <v>SCHWEPPS AT TIMELESS</v>
      </c>
      <c r="D321" s="24" t="str">
        <f aca="false">INDEX('Running Order'!$D$2:$D$225,B321)</f>
        <v>Commercial</v>
      </c>
      <c r="E321" s="5" t="n">
        <f aca="false">IF(INDEX('Running Order'!$B$2:$B$225,B321)="Y",INDEX('Running Order'!$E$2:$E$225,B321),0)</f>
        <v>0.000358796296296296</v>
      </c>
      <c r="F321" s="6" t="n">
        <f aca="false">(A321-1)*Summary!$B$5+INDEX('Running Order'!$F$2:$F$225,B321)</f>
        <v>46296.5517939815</v>
      </c>
      <c r="G321" s="6" t="n">
        <f aca="false">F321+E321</f>
        <v>46296.5521527778</v>
      </c>
      <c r="H321" s="24" t="str">
        <f aca="false">IF(INDEX('Running Order'!$B$2:$B$225,B321)="Y","on air","dropped")</f>
        <v>on air</v>
      </c>
      <c r="I321" s="24" t="str">
        <f aca="false">IF(F321&lt;Summary!$B$4+1,"yes","")</f>
        <v>yes</v>
      </c>
    </row>
    <row r="322" customFormat="false" ht="15" hidden="false" customHeight="false" outlineLevel="0" collapsed="false">
      <c r="A322" s="24" t="n">
        <f aca="false">INT((ROW()-2)/Summary!$B$8)+1</f>
        <v>2</v>
      </c>
      <c r="B322" s="24" t="n">
        <f aca="false">MOD(ROW()-2,Summary!$B$8)+1</f>
        <v>97</v>
      </c>
      <c r="C322" s="24" t="str">
        <f aca="false">INDEX('Running Order'!$C$2:$C$225,B322)</f>
        <v>TATTASE TV STING</v>
      </c>
      <c r="D322" s="24" t="str">
        <f aca="false">INDEX('Running Order'!$D$2:$D$225,B322)</f>
        <v>Sting</v>
      </c>
      <c r="E322" s="5" t="n">
        <f aca="false">IF(INDEX('Running Order'!$B$2:$B$225,B322)="Y",INDEX('Running Order'!$E$2:$E$225,B322),0)</f>
        <v>6.94444444444444E-005</v>
      </c>
      <c r="F322" s="6" t="n">
        <f aca="false">(A322-1)*Summary!$B$5+INDEX('Running Order'!$F$2:$F$225,B322)</f>
        <v>46296.5521527778</v>
      </c>
      <c r="G322" s="6" t="n">
        <f aca="false">F322+E322</f>
        <v>46296.5522222222</v>
      </c>
      <c r="H322" s="24" t="str">
        <f aca="false">IF(INDEX('Running Order'!$B$2:$B$225,B322)="Y","on air","dropped")</f>
        <v>on air</v>
      </c>
      <c r="I322" s="24" t="str">
        <f aca="false">IF(F322&lt;Summary!$B$4+1,"yes","")</f>
        <v>yes</v>
      </c>
    </row>
    <row r="323" customFormat="false" ht="15" hidden="false" customHeight="false" outlineLevel="0" collapsed="false">
      <c r="A323" s="24" t="n">
        <f aca="false">INT((ROW()-2)/Summary!$B$8)+1</f>
        <v>2</v>
      </c>
      <c r="B323" s="24" t="n">
        <f aca="false">MOD(ROW()-2,Summary!$B$8)+1</f>
        <v>98</v>
      </c>
      <c r="C323" s="24" t="str">
        <f aca="false">INDEX('Running Order'!$C$2:$C$225,B323)</f>
        <v>BOLE FESTIVAL DAY ONE</v>
      </c>
      <c r="D323" s="24" t="str">
        <f aca="false">INDEX('Running Order'!$D$2:$D$225,B323)</f>
        <v>Programme</v>
      </c>
      <c r="E323" s="5" t="n">
        <f aca="false">IF(INDEX('Running Order'!$B$2:$B$225,B323)="Y",INDEX('Running Order'!$E$2:$E$225,B323),0)</f>
        <v>0.0173263888888889</v>
      </c>
      <c r="F323" s="6" t="n">
        <f aca="false">(A323-1)*Summary!$B$5+INDEX('Running Order'!$F$2:$F$225,B323)</f>
        <v>46296.5522222222</v>
      </c>
      <c r="G323" s="6" t="n">
        <f aca="false">F323+E323</f>
        <v>46296.5695486111</v>
      </c>
      <c r="H323" s="24" t="str">
        <f aca="false">IF(INDEX('Running Order'!$B$2:$B$225,B323)="Y","on air","dropped")</f>
        <v>on air</v>
      </c>
      <c r="I323" s="24" t="str">
        <f aca="false">IF(F323&lt;Summary!$B$4+1,"yes","")</f>
        <v>yes</v>
      </c>
    </row>
    <row r="324" customFormat="false" ht="15" hidden="false" customHeight="false" outlineLevel="0" collapsed="false">
      <c r="A324" s="24" t="n">
        <f aca="false">INT((ROW()-2)/Summary!$B$8)+1</f>
        <v>2</v>
      </c>
      <c r="B324" s="24" t="n">
        <f aca="false">MOD(ROW()-2,Summary!$B$8)+1</f>
        <v>99</v>
      </c>
      <c r="C324" s="24" t="str">
        <f aca="false">INDEX('Running Order'!$C$2:$C$225,B324)</f>
        <v>CHEF ETTE</v>
      </c>
      <c r="D324" s="24" t="str">
        <f aca="false">INDEX('Running Order'!$D$2:$D$225,B324)</f>
        <v>Programme</v>
      </c>
      <c r="E324" s="5" t="n">
        <f aca="false">IF(INDEX('Running Order'!$B$2:$B$225,B324)="Y",INDEX('Running Order'!$E$2:$E$225,B324),0)</f>
        <v>0.00238425925925926</v>
      </c>
      <c r="F324" s="6" t="n">
        <f aca="false">(A324-1)*Summary!$B$5+INDEX('Running Order'!$F$2:$F$225,B324)</f>
        <v>46296.5695486111</v>
      </c>
      <c r="G324" s="6" t="n">
        <f aca="false">F324+E324</f>
        <v>46296.5719328704</v>
      </c>
      <c r="H324" s="24" t="str">
        <f aca="false">IF(INDEX('Running Order'!$B$2:$B$225,B324)="Y","on air","dropped")</f>
        <v>on air</v>
      </c>
      <c r="I324" s="24" t="str">
        <f aca="false">IF(F324&lt;Summary!$B$4+1,"yes","")</f>
        <v>yes</v>
      </c>
    </row>
    <row r="325" customFormat="false" ht="15" hidden="false" customHeight="false" outlineLevel="0" collapsed="false">
      <c r="A325" s="24" t="n">
        <f aca="false">INT((ROW()-2)/Summary!$B$8)+1</f>
        <v>2</v>
      </c>
      <c r="B325" s="24" t="n">
        <f aca="false">MOD(ROW()-2,Summary!$B$8)+1</f>
        <v>100</v>
      </c>
      <c r="C325" s="24" t="str">
        <f aca="false">INDEX('Running Order'!$C$2:$C$225,B325)</f>
        <v>TATTASE TV STING</v>
      </c>
      <c r="D325" s="24" t="str">
        <f aca="false">INDEX('Running Order'!$D$2:$D$225,B325)</f>
        <v>Sting</v>
      </c>
      <c r="E325" s="5" t="n">
        <f aca="false">IF(INDEX('Running Order'!$B$2:$B$225,B325)="Y",INDEX('Running Order'!$E$2:$E$225,B325),0)</f>
        <v>6.94444444444444E-005</v>
      </c>
      <c r="F325" s="6" t="n">
        <f aca="false">(A325-1)*Summary!$B$5+INDEX('Running Order'!$F$2:$F$225,B325)</f>
        <v>46296.5719328704</v>
      </c>
      <c r="G325" s="6" t="n">
        <f aca="false">F325+E325</f>
        <v>46296.5720023148</v>
      </c>
      <c r="H325" s="24" t="str">
        <f aca="false">IF(INDEX('Running Order'!$B$2:$B$225,B325)="Y","on air","dropped")</f>
        <v>on air</v>
      </c>
      <c r="I325" s="24" t="str">
        <f aca="false">IF(F325&lt;Summary!$B$4+1,"yes","")</f>
        <v>yes</v>
      </c>
    </row>
    <row r="326" customFormat="false" ht="15" hidden="false" customHeight="false" outlineLevel="0" collapsed="false">
      <c r="A326" s="24" t="n">
        <f aca="false">INT((ROW()-2)/Summary!$B$8)+1</f>
        <v>2</v>
      </c>
      <c r="B326" s="24" t="n">
        <f aca="false">MOD(ROW()-2,Summary!$B$8)+1</f>
        <v>101</v>
      </c>
      <c r="C326" s="24" t="str">
        <f aca="false">INDEX('Running Order'!$C$2:$C$225,B326)</f>
        <v>CALABAR FOOD WITH UYAI (NO BRAND) PROMO</v>
      </c>
      <c r="D326" s="24" t="str">
        <f aca="false">INDEX('Running Order'!$D$2:$D$225,B326)</f>
        <v>Promo</v>
      </c>
      <c r="E326" s="5" t="n">
        <f aca="false">IF(INDEX('Running Order'!$B$2:$B$225,B326)="Y",INDEX('Running Order'!$E$2:$E$225,B326),0)</f>
        <v>0.00186342592592593</v>
      </c>
      <c r="F326" s="6" t="n">
        <f aca="false">(A326-1)*Summary!$B$5+INDEX('Running Order'!$F$2:$F$225,B326)</f>
        <v>46296.5720023148</v>
      </c>
      <c r="G326" s="6" t="n">
        <f aca="false">F326+E326</f>
        <v>46296.5738657407</v>
      </c>
      <c r="H326" s="24" t="str">
        <f aca="false">IF(INDEX('Running Order'!$B$2:$B$225,B326)="Y","on air","dropped")</f>
        <v>on air</v>
      </c>
      <c r="I326" s="24" t="str">
        <f aca="false">IF(F326&lt;Summary!$B$4+1,"yes","")</f>
        <v>yes</v>
      </c>
    </row>
    <row r="327" customFormat="false" ht="15" hidden="false" customHeight="false" outlineLevel="0" collapsed="false">
      <c r="A327" s="24" t="n">
        <f aca="false">INT((ROW()-2)/Summary!$B$8)+1</f>
        <v>2</v>
      </c>
      <c r="B327" s="24" t="n">
        <f aca="false">MOD(ROW()-2,Summary!$B$8)+1</f>
        <v>102</v>
      </c>
      <c r="C327" s="24" t="str">
        <f aca="false">INDEX('Running Order'!$C$2:$C$225,B327)</f>
        <v>Bake That Cake With Dripples __ Trailer</v>
      </c>
      <c r="D327" s="24" t="str">
        <f aca="false">INDEX('Running Order'!$D$2:$D$225,B327)</f>
        <v>Promo</v>
      </c>
      <c r="E327" s="5" t="n">
        <f aca="false">IF(INDEX('Running Order'!$B$2:$B$225,B327)="Y",INDEX('Running Order'!$E$2:$E$225,B327),0)</f>
        <v>0.000381944444444445</v>
      </c>
      <c r="F327" s="6" t="n">
        <f aca="false">(A327-1)*Summary!$B$5+INDEX('Running Order'!$F$2:$F$225,B327)</f>
        <v>46296.5738657407</v>
      </c>
      <c r="G327" s="6" t="n">
        <f aca="false">F327+E327</f>
        <v>46296.5742476852</v>
      </c>
      <c r="H327" s="24" t="str">
        <f aca="false">IF(INDEX('Running Order'!$B$2:$B$225,B327)="Y","on air","dropped")</f>
        <v>on air</v>
      </c>
      <c r="I327" s="24" t="str">
        <f aca="false">IF(F327&lt;Summary!$B$4+1,"yes","")</f>
        <v>yes</v>
      </c>
    </row>
    <row r="328" customFormat="false" ht="15" hidden="false" customHeight="false" outlineLevel="0" collapsed="false">
      <c r="A328" s="24" t="n">
        <f aca="false">INT((ROW()-2)/Summary!$B$8)+1</f>
        <v>2</v>
      </c>
      <c r="B328" s="24" t="n">
        <f aca="false">MOD(ROW()-2,Summary!$B$8)+1</f>
        <v>103</v>
      </c>
      <c r="C328" s="24" t="str">
        <f aca="false">INDEX('Running Order'!$C$2:$C$225,B328)</f>
        <v>CHANNEL MONTAGE</v>
      </c>
      <c r="D328" s="24" t="str">
        <f aca="false">INDEX('Running Order'!$D$2:$D$225,B328)</f>
        <v>Montage</v>
      </c>
      <c r="E328" s="5" t="n">
        <f aca="false">IF(INDEX('Running Order'!$B$2:$B$225,B328)="Y",INDEX('Running Order'!$E$2:$E$225,B328),0)</f>
        <v>0.000115740740740741</v>
      </c>
      <c r="F328" s="6" t="n">
        <f aca="false">(A328-1)*Summary!$B$5+INDEX('Running Order'!$F$2:$F$225,B328)</f>
        <v>46296.5742476852</v>
      </c>
      <c r="G328" s="6" t="n">
        <f aca="false">F328+E328</f>
        <v>46296.5743634259</v>
      </c>
      <c r="H328" s="24" t="str">
        <f aca="false">IF(INDEX('Running Order'!$B$2:$B$225,B328)="Y","on air","dropped")</f>
        <v>on air</v>
      </c>
      <c r="I328" s="24" t="str">
        <f aca="false">IF(F328&lt;Summary!$B$4+1,"yes","")</f>
        <v>yes</v>
      </c>
    </row>
    <row r="329" customFormat="false" ht="15" hidden="false" customHeight="false" outlineLevel="0" collapsed="false">
      <c r="A329" s="24" t="n">
        <f aca="false">INT((ROW()-2)/Summary!$B$8)+1</f>
        <v>2</v>
      </c>
      <c r="B329" s="24" t="n">
        <f aca="false">MOD(ROW()-2,Summary!$B$8)+1</f>
        <v>104</v>
      </c>
      <c r="C329" s="24" t="str">
        <f aca="false">INDEX('Running Order'!$C$2:$C$225,B329)</f>
        <v>Ep 9 - BAKED PLANTAIN AND SCRAMBLED EGG</v>
      </c>
      <c r="D329" s="24" t="str">
        <f aca="false">INDEX('Running Order'!$D$2:$D$225,B329)</f>
        <v>Programme</v>
      </c>
      <c r="E329" s="5" t="n">
        <f aca="false">IF(INDEX('Running Order'!$B$2:$B$225,B329)="Y",INDEX('Running Order'!$E$2:$E$225,B329),0)</f>
        <v>0.0104861111111111</v>
      </c>
      <c r="F329" s="6" t="n">
        <f aca="false">(A329-1)*Summary!$B$5+INDEX('Running Order'!$F$2:$F$225,B329)</f>
        <v>46296.5743634259</v>
      </c>
      <c r="G329" s="6" t="n">
        <f aca="false">F329+E329</f>
        <v>46296.584849537</v>
      </c>
      <c r="H329" s="24" t="str">
        <f aca="false">IF(INDEX('Running Order'!$B$2:$B$225,B329)="Y","on air","dropped")</f>
        <v>on air</v>
      </c>
      <c r="I329" s="24" t="str">
        <f aca="false">IF(F329&lt;Summary!$B$4+1,"yes","")</f>
        <v>yes</v>
      </c>
    </row>
    <row r="330" customFormat="false" ht="15" hidden="false" customHeight="false" outlineLevel="0" collapsed="false">
      <c r="A330" s="24" t="n">
        <f aca="false">INT((ROW()-2)/Summary!$B$8)+1</f>
        <v>2</v>
      </c>
      <c r="B330" s="24" t="n">
        <f aca="false">MOD(ROW()-2,Summary!$B$8)+1</f>
        <v>105</v>
      </c>
      <c r="C330" s="24" t="str">
        <f aca="false">INDEX('Running Order'!$C$2:$C$225,B330)</f>
        <v>KIVO HOT PEPPER COMMERCIAL</v>
      </c>
      <c r="D330" s="24" t="str">
        <f aca="false">INDEX('Running Order'!$D$2:$D$225,B330)</f>
        <v>Commercial</v>
      </c>
      <c r="E330" s="5" t="n">
        <f aca="false">IF(INDEX('Running Order'!$B$2:$B$225,B330)="Y",INDEX('Running Order'!$E$2:$E$225,B330),0)</f>
        <v>0.000520833333333333</v>
      </c>
      <c r="F330" s="6" t="n">
        <f aca="false">(A330-1)*Summary!$B$5+INDEX('Running Order'!$F$2:$F$225,B330)</f>
        <v>46296.584849537</v>
      </c>
      <c r="G330" s="6" t="n">
        <f aca="false">F330+E330</f>
        <v>46296.5853703704</v>
      </c>
      <c r="H330" s="24" t="str">
        <f aca="false">IF(INDEX('Running Order'!$B$2:$B$225,B330)="Y","on air","dropped")</f>
        <v>on air</v>
      </c>
      <c r="I330" s="24" t="str">
        <f aca="false">IF(F330&lt;Summary!$B$4+1,"yes","")</f>
        <v>yes</v>
      </c>
    </row>
    <row r="331" customFormat="false" ht="15" hidden="false" customHeight="false" outlineLevel="0" collapsed="false">
      <c r="A331" s="24" t="n">
        <f aca="false">INT((ROW()-2)/Summary!$B$8)+1</f>
        <v>2</v>
      </c>
      <c r="B331" s="24" t="n">
        <f aca="false">MOD(ROW()-2,Summary!$B$8)+1</f>
        <v>106</v>
      </c>
      <c r="C331" s="24" t="str">
        <f aca="false">INDEX('Running Order'!$C$2:$C$225,B331)</f>
        <v>LUNCH BOX COMING SOON</v>
      </c>
      <c r="D331" s="24" t="str">
        <f aca="false">INDEX('Running Order'!$D$2:$D$225,B331)</f>
        <v>Promo</v>
      </c>
      <c r="E331" s="5" t="n">
        <f aca="false">IF(INDEX('Running Order'!$B$2:$B$225,B331)="Y",INDEX('Running Order'!$E$2:$E$225,B331),0)</f>
        <v>0.000277777777777778</v>
      </c>
      <c r="F331" s="6" t="n">
        <f aca="false">(A331-1)*Summary!$B$5+INDEX('Running Order'!$F$2:$F$225,B331)</f>
        <v>46296.5853703704</v>
      </c>
      <c r="G331" s="6" t="n">
        <f aca="false">F331+E331</f>
        <v>46296.5856481481</v>
      </c>
      <c r="H331" s="24" t="str">
        <f aca="false">IF(INDEX('Running Order'!$B$2:$B$225,B331)="Y","on air","dropped")</f>
        <v>on air</v>
      </c>
      <c r="I331" s="24" t="str">
        <f aca="false">IF(F331&lt;Summary!$B$4+1,"yes","")</f>
        <v>yes</v>
      </c>
    </row>
    <row r="332" customFormat="false" ht="15" hidden="false" customHeight="false" outlineLevel="0" collapsed="false">
      <c r="A332" s="24" t="n">
        <f aca="false">INT((ROW()-2)/Summary!$B$8)+1</f>
        <v>2</v>
      </c>
      <c r="B332" s="24" t="n">
        <f aca="false">MOD(ROW()-2,Summary!$B$8)+1</f>
        <v>107</v>
      </c>
      <c r="C332" s="24" t="str">
        <f aca="false">INDEX('Running Order'!$C$2:$C$225,B332)</f>
        <v>TATTASE COFFEE STING</v>
      </c>
      <c r="D332" s="24" t="str">
        <f aca="false">INDEX('Running Order'!$D$2:$D$225,B332)</f>
        <v>Sting</v>
      </c>
      <c r="E332" s="5" t="n">
        <f aca="false">IF(INDEX('Running Order'!$B$2:$B$225,B332)="Y",INDEX('Running Order'!$E$2:$E$225,B332),0)</f>
        <v>9.25925925925926E-005</v>
      </c>
      <c r="F332" s="6" t="n">
        <f aca="false">(A332-1)*Summary!$B$5+INDEX('Running Order'!$F$2:$F$225,B332)</f>
        <v>46296.5856481481</v>
      </c>
      <c r="G332" s="6" t="n">
        <f aca="false">F332+E332</f>
        <v>46296.5857407407</v>
      </c>
      <c r="H332" s="24" t="str">
        <f aca="false">IF(INDEX('Running Order'!$B$2:$B$225,B332)="Y","on air","dropped")</f>
        <v>on air</v>
      </c>
      <c r="I332" s="24" t="str">
        <f aca="false">IF(F332&lt;Summary!$B$4+1,"yes","")</f>
        <v>yes</v>
      </c>
    </row>
    <row r="333" customFormat="false" ht="15" hidden="false" customHeight="false" outlineLevel="0" collapsed="false">
      <c r="A333" s="24" t="n">
        <f aca="false">INT((ROW()-2)/Summary!$B$8)+1</f>
        <v>2</v>
      </c>
      <c r="B333" s="24" t="n">
        <f aca="false">MOD(ROW()-2,Summary!$B$8)+1</f>
        <v>108</v>
      </c>
      <c r="C333" s="24" t="str">
        <f aca="false">INDEX('Running Order'!$C$2:$C$225,B333)</f>
        <v>ABUJA NYSC CAMP LETS JOLLOF</v>
      </c>
      <c r="D333" s="24" t="str">
        <f aca="false">INDEX('Running Order'!$D$2:$D$225,B333)</f>
        <v>Short</v>
      </c>
      <c r="E333" s="5" t="n">
        <f aca="false">IF(INDEX('Running Order'!$B$2:$B$225,B333)="Y",INDEX('Running Order'!$E$2:$E$225,B333),0)</f>
        <v>0.000555555555555556</v>
      </c>
      <c r="F333" s="6" t="n">
        <f aca="false">(A333-1)*Summary!$B$5+INDEX('Running Order'!$F$2:$F$225,B333)</f>
        <v>46296.5857407407</v>
      </c>
      <c r="G333" s="6" t="n">
        <f aca="false">F333+E333</f>
        <v>46296.5862962963</v>
      </c>
      <c r="H333" s="24" t="str">
        <f aca="false">IF(INDEX('Running Order'!$B$2:$B$225,B333)="Y","on air","dropped")</f>
        <v>on air</v>
      </c>
      <c r="I333" s="24" t="str">
        <f aca="false">IF(F333&lt;Summary!$B$4+1,"yes","")</f>
        <v>yes</v>
      </c>
    </row>
    <row r="334" customFormat="false" ht="15" hidden="false" customHeight="false" outlineLevel="0" collapsed="false">
      <c r="A334" s="24" t="n">
        <f aca="false">INT((ROW()-2)/Summary!$B$8)+1</f>
        <v>2</v>
      </c>
      <c r="B334" s="24" t="n">
        <f aca="false">MOD(ROW()-2,Summary!$B$8)+1</f>
        <v>109</v>
      </c>
      <c r="C334" s="24" t="str">
        <f aca="false">INDEX('Running Order'!$C$2:$C$225,B334)</f>
        <v>FOODIE SHOUTOUTS</v>
      </c>
      <c r="D334" s="24" t="str">
        <f aca="false">INDEX('Running Order'!$D$2:$D$225,B334)</f>
        <v>Short</v>
      </c>
      <c r="E334" s="5" t="n">
        <f aca="false">IF(INDEX('Running Order'!$B$2:$B$225,B334)="Y",INDEX('Running Order'!$E$2:$E$225,B334),0)</f>
        <v>0.000902777777777778</v>
      </c>
      <c r="F334" s="6" t="n">
        <f aca="false">(A334-1)*Summary!$B$5+INDEX('Running Order'!$F$2:$F$225,B334)</f>
        <v>46296.5862962963</v>
      </c>
      <c r="G334" s="6" t="n">
        <f aca="false">F334+E334</f>
        <v>46296.5871990741</v>
      </c>
      <c r="H334" s="24" t="str">
        <f aca="false">IF(INDEX('Running Order'!$B$2:$B$225,B334)="Y","on air","dropped")</f>
        <v>on air</v>
      </c>
      <c r="I334" s="24" t="str">
        <f aca="false">IF(F334&lt;Summary!$B$4+1,"yes","")</f>
        <v>yes</v>
      </c>
    </row>
    <row r="335" customFormat="false" ht="15" hidden="false" customHeight="false" outlineLevel="0" collapsed="false">
      <c r="A335" s="24" t="n">
        <f aca="false">INT((ROW()-2)/Summary!$B$8)+1</f>
        <v>2</v>
      </c>
      <c r="B335" s="24" t="n">
        <f aca="false">MOD(ROW()-2,Summary!$B$8)+1</f>
        <v>110</v>
      </c>
      <c r="C335" s="24" t="str">
        <f aca="false">INDEX('Running Order'!$C$2:$C$225,B335)</f>
        <v>GTCO FOOD AND DRINKS TV6</v>
      </c>
      <c r="D335" s="24" t="str">
        <f aca="false">INDEX('Running Order'!$D$2:$D$225,B335)</f>
        <v>Short</v>
      </c>
      <c r="E335" s="5" t="n">
        <f aca="false">IF(INDEX('Running Order'!$B$2:$B$225,B335)="Y",INDEX('Running Order'!$E$2:$E$225,B335),0)</f>
        <v>0.00068287037037037</v>
      </c>
      <c r="F335" s="6" t="n">
        <f aca="false">(A335-1)*Summary!$B$5+INDEX('Running Order'!$F$2:$F$225,B335)</f>
        <v>46296.5871990741</v>
      </c>
      <c r="G335" s="6" t="n">
        <f aca="false">F335+E335</f>
        <v>46296.5878819445</v>
      </c>
      <c r="H335" s="24" t="str">
        <f aca="false">IF(INDEX('Running Order'!$B$2:$B$225,B335)="Y","on air","dropped")</f>
        <v>on air</v>
      </c>
      <c r="I335" s="24" t="str">
        <f aca="false">IF(F335&lt;Summary!$B$4+1,"yes","")</f>
        <v>yes</v>
      </c>
    </row>
    <row r="336" customFormat="false" ht="15" hidden="false" customHeight="false" outlineLevel="0" collapsed="false">
      <c r="A336" s="24" t="n">
        <f aca="false">INT((ROW()-2)/Summary!$B$8)+1</f>
        <v>2</v>
      </c>
      <c r="B336" s="24" t="n">
        <f aca="false">MOD(ROW()-2,Summary!$B$8)+1</f>
        <v>111</v>
      </c>
      <c r="C336" s="24" t="str">
        <f aca="false">INDEX('Running Order'!$C$2:$C$225,B336)</f>
        <v>TATTASE TV STING</v>
      </c>
      <c r="D336" s="24" t="str">
        <f aca="false">INDEX('Running Order'!$D$2:$D$225,B336)</f>
        <v>Sting</v>
      </c>
      <c r="E336" s="5" t="n">
        <f aca="false">IF(INDEX('Running Order'!$B$2:$B$225,B336)="Y",INDEX('Running Order'!$E$2:$E$225,B336),0)</f>
        <v>6.94444444444444E-005</v>
      </c>
      <c r="F336" s="6" t="n">
        <f aca="false">(A336-1)*Summary!$B$5+INDEX('Running Order'!$F$2:$F$225,B336)</f>
        <v>46296.5878819445</v>
      </c>
      <c r="G336" s="6" t="n">
        <f aca="false">F336+E336</f>
        <v>46296.5879513889</v>
      </c>
      <c r="H336" s="24" t="str">
        <f aca="false">IF(INDEX('Running Order'!$B$2:$B$225,B336)="Y","on air","dropped")</f>
        <v>on air</v>
      </c>
      <c r="I336" s="24" t="str">
        <f aca="false">IF(F336&lt;Summary!$B$4+1,"yes","")</f>
        <v>yes</v>
      </c>
    </row>
    <row r="337" customFormat="false" ht="15" hidden="false" customHeight="false" outlineLevel="0" collapsed="false">
      <c r="A337" s="24" t="n">
        <f aca="false">INT((ROW()-2)/Summary!$B$8)+1</f>
        <v>2</v>
      </c>
      <c r="B337" s="24" t="n">
        <f aca="false">MOD(ROW()-2,Summary!$B$8)+1</f>
        <v>112</v>
      </c>
      <c r="C337" s="24" t="str">
        <f aca="false">INDEX('Running Order'!$C$2:$C$225,B337)</f>
        <v>CURRIED SPAGHETTI WITH SHREDDED BEEF by CHIOMA AKPOTHA</v>
      </c>
      <c r="D337" s="24" t="str">
        <f aca="false">INDEX('Running Order'!$D$2:$D$225,B337)</f>
        <v>Short</v>
      </c>
      <c r="E337" s="5" t="n">
        <f aca="false">IF(INDEX('Running Order'!$B$2:$B$225,B337)="Y",INDEX('Running Order'!$E$2:$E$225,B337),0)</f>
        <v>0.00200231481481482</v>
      </c>
      <c r="F337" s="6" t="n">
        <f aca="false">(A337-1)*Summary!$B$5+INDEX('Running Order'!$F$2:$F$225,B337)</f>
        <v>46296.5879513889</v>
      </c>
      <c r="G337" s="6" t="n">
        <f aca="false">F337+E337</f>
        <v>46296.5899537037</v>
      </c>
      <c r="H337" s="24" t="str">
        <f aca="false">IF(INDEX('Running Order'!$B$2:$B$225,B337)="Y","on air","dropped")</f>
        <v>on air</v>
      </c>
      <c r="I337" s="24" t="str">
        <f aca="false">IF(F337&lt;Summary!$B$4+1,"yes","")</f>
        <v>yes</v>
      </c>
    </row>
    <row r="338" customFormat="false" ht="15" hidden="false" customHeight="false" outlineLevel="0" collapsed="false">
      <c r="A338" s="24" t="n">
        <f aca="false">INT((ROW()-2)/Summary!$B$8)+1</f>
        <v>2</v>
      </c>
      <c r="B338" s="24" t="n">
        <f aca="false">MOD(ROW()-2,Summary!$B$8)+1</f>
        <v>113</v>
      </c>
      <c r="C338" s="24" t="str">
        <f aca="false">INDEX('Running Order'!$C$2:$C$225,B338)</f>
        <v>Olam Cocoa Ghana</v>
      </c>
      <c r="D338" s="24" t="str">
        <f aca="false">INDEX('Running Order'!$D$2:$D$225,B338)</f>
        <v>Programme</v>
      </c>
      <c r="E338" s="5" t="n">
        <f aca="false">IF(INDEX('Running Order'!$B$2:$B$225,B338)="Y",INDEX('Running Order'!$E$2:$E$225,B338),0)</f>
        <v>0.00628472222222222</v>
      </c>
      <c r="F338" s="6" t="n">
        <f aca="false">(A338-1)*Summary!$B$5+INDEX('Running Order'!$F$2:$F$225,B338)</f>
        <v>46296.5899537037</v>
      </c>
      <c r="G338" s="6" t="n">
        <f aca="false">F338+E338</f>
        <v>46296.5962384259</v>
      </c>
      <c r="H338" s="24" t="str">
        <f aca="false">IF(INDEX('Running Order'!$B$2:$B$225,B338)="Y","on air","dropped")</f>
        <v>on air</v>
      </c>
      <c r="I338" s="24" t="str">
        <f aca="false">IF(F338&lt;Summary!$B$4+1,"yes","")</f>
        <v>yes</v>
      </c>
    </row>
    <row r="339" customFormat="false" ht="15" hidden="false" customHeight="false" outlineLevel="0" collapsed="false">
      <c r="A339" s="24" t="n">
        <f aca="false">INT((ROW()-2)/Summary!$B$8)+1</f>
        <v>2</v>
      </c>
      <c r="B339" s="24" t="n">
        <f aca="false">MOD(ROW()-2,Summary!$B$8)+1</f>
        <v>114</v>
      </c>
      <c r="C339" s="24" t="str">
        <f aca="false">INDEX('Running Order'!$C$2:$C$225,B339)</f>
        <v>TATTASE TV CHANNEL MONTAGE</v>
      </c>
      <c r="D339" s="24" t="str">
        <f aca="false">INDEX('Running Order'!$D$2:$D$225,B339)</f>
        <v>Montage</v>
      </c>
      <c r="E339" s="5" t="n">
        <f aca="false">IF(INDEX('Running Order'!$B$2:$B$225,B339)="Y",INDEX('Running Order'!$E$2:$E$225,B339),0)</f>
        <v>0.000115740740740741</v>
      </c>
      <c r="F339" s="6" t="n">
        <f aca="false">(A339-1)*Summary!$B$5+INDEX('Running Order'!$F$2:$F$225,B339)</f>
        <v>46296.5962384259</v>
      </c>
      <c r="G339" s="6" t="n">
        <f aca="false">F339+E339</f>
        <v>46296.5963541667</v>
      </c>
      <c r="H339" s="24" t="str">
        <f aca="false">IF(INDEX('Running Order'!$B$2:$B$225,B339)="Y","on air","dropped")</f>
        <v>on air</v>
      </c>
      <c r="I339" s="24" t="str">
        <f aca="false">IF(F339&lt;Summary!$B$4+1,"yes","")</f>
        <v>yes</v>
      </c>
    </row>
    <row r="340" customFormat="false" ht="15" hidden="false" customHeight="false" outlineLevel="0" collapsed="false">
      <c r="A340" s="24" t="n">
        <f aca="false">INT((ROW()-2)/Summary!$B$8)+1</f>
        <v>2</v>
      </c>
      <c r="B340" s="24" t="n">
        <f aca="false">MOD(ROW()-2,Summary!$B$8)+1</f>
        <v>115</v>
      </c>
      <c r="C340" s="24" t="str">
        <f aca="false">INDEX('Running Order'!$C$2:$C$225,B340)</f>
        <v>Waffest day 2 beach hangout</v>
      </c>
      <c r="D340" s="24" t="str">
        <f aca="false">INDEX('Running Order'!$D$2:$D$225,B340)</f>
        <v>Short</v>
      </c>
      <c r="E340" s="5" t="n">
        <f aca="false">IF(INDEX('Running Order'!$B$2:$B$225,B340)="Y",INDEX('Running Order'!$E$2:$E$225,B340),0)</f>
        <v>0.000798611111111111</v>
      </c>
      <c r="F340" s="6" t="n">
        <f aca="false">(A340-1)*Summary!$B$5+INDEX('Running Order'!$F$2:$F$225,B340)</f>
        <v>46296.5963541667</v>
      </c>
      <c r="G340" s="6" t="n">
        <f aca="false">F340+E340</f>
        <v>46296.5971527778</v>
      </c>
      <c r="H340" s="24" t="str">
        <f aca="false">IF(INDEX('Running Order'!$B$2:$B$225,B340)="Y","on air","dropped")</f>
        <v>on air</v>
      </c>
      <c r="I340" s="24" t="str">
        <f aca="false">IF(F340&lt;Summary!$B$4+1,"yes","")</f>
        <v>yes</v>
      </c>
    </row>
    <row r="341" customFormat="false" ht="15" hidden="false" customHeight="false" outlineLevel="0" collapsed="false">
      <c r="A341" s="24" t="n">
        <f aca="false">INT((ROW()-2)/Summary!$B$8)+1</f>
        <v>2</v>
      </c>
      <c r="B341" s="24" t="n">
        <f aca="false">MOD(ROW()-2,Summary!$B$8)+1</f>
        <v>116</v>
      </c>
      <c r="C341" s="24" t="str">
        <f aca="false">INDEX('Running Order'!$C$2:$C$225,B341)</f>
        <v>BAKERACE TV</v>
      </c>
      <c r="D341" s="24" t="str">
        <f aca="false">INDEX('Running Order'!$D$2:$D$225,B341)</f>
        <v>Short</v>
      </c>
      <c r="E341" s="5" t="n">
        <f aca="false">IF(INDEX('Running Order'!$B$2:$B$225,B341)="Y",INDEX('Running Order'!$E$2:$E$225,B341),0)</f>
        <v>0.00103009259259259</v>
      </c>
      <c r="F341" s="6" t="n">
        <f aca="false">(A341-1)*Summary!$B$5+INDEX('Running Order'!$F$2:$F$225,B341)</f>
        <v>46296.5971527778</v>
      </c>
      <c r="G341" s="6" t="n">
        <f aca="false">F341+E341</f>
        <v>46296.5981828704</v>
      </c>
      <c r="H341" s="24" t="str">
        <f aca="false">IF(INDEX('Running Order'!$B$2:$B$225,B341)="Y","on air","dropped")</f>
        <v>on air</v>
      </c>
      <c r="I341" s="24" t="str">
        <f aca="false">IF(F341&lt;Summary!$B$4+1,"yes","")</f>
        <v>yes</v>
      </c>
    </row>
    <row r="342" customFormat="false" ht="15" hidden="false" customHeight="false" outlineLevel="0" collapsed="false">
      <c r="A342" s="24" t="n">
        <f aca="false">INT((ROW()-2)/Summary!$B$8)+1</f>
        <v>2</v>
      </c>
      <c r="B342" s="24" t="n">
        <f aca="false">MOD(ROW()-2,Summary!$B$8)+1</f>
        <v>117</v>
      </c>
      <c r="C342" s="24" t="str">
        <f aca="false">INDEX('Running Order'!$C$2:$C$225,B342)</f>
        <v>ADESUA VIVA COMMERCIAL</v>
      </c>
      <c r="D342" s="24" t="str">
        <f aca="false">INDEX('Running Order'!$D$2:$D$225,B342)</f>
        <v>Commercial</v>
      </c>
      <c r="E342" s="5" t="n">
        <f aca="false">IF(INDEX('Running Order'!$B$2:$B$225,B342)="Y",INDEX('Running Order'!$E$2:$E$225,B342),0)</f>
        <v>0.00114583333333333</v>
      </c>
      <c r="F342" s="6" t="n">
        <f aca="false">(A342-1)*Summary!$B$5+INDEX('Running Order'!$F$2:$F$225,B342)</f>
        <v>46296.5981828704</v>
      </c>
      <c r="G342" s="6" t="n">
        <f aca="false">F342+E342</f>
        <v>46296.5993287037</v>
      </c>
      <c r="H342" s="24" t="str">
        <f aca="false">IF(INDEX('Running Order'!$B$2:$B$225,B342)="Y","on air","dropped")</f>
        <v>on air</v>
      </c>
      <c r="I342" s="24" t="str">
        <f aca="false">IF(F342&lt;Summary!$B$4+1,"yes","")</f>
        <v>yes</v>
      </c>
    </row>
    <row r="343" customFormat="false" ht="15" hidden="false" customHeight="false" outlineLevel="0" collapsed="false">
      <c r="A343" s="24" t="n">
        <f aca="false">INT((ROW()-2)/Summary!$B$8)+1</f>
        <v>2</v>
      </c>
      <c r="B343" s="24" t="n">
        <f aca="false">MOD(ROW()-2,Summary!$B$8)+1</f>
        <v>118</v>
      </c>
      <c r="C343" s="24" t="str">
        <f aca="false">INDEX('Running Order'!$C$2:$C$225,B343)</f>
        <v>COCACOLA RECIPE WONDER</v>
      </c>
      <c r="D343" s="24" t="str">
        <f aca="false">INDEX('Running Order'!$D$2:$D$225,B343)</f>
        <v>Short</v>
      </c>
      <c r="E343" s="5" t="n">
        <f aca="false">IF(INDEX('Running Order'!$B$2:$B$225,B343)="Y",INDEX('Running Order'!$E$2:$E$225,B343),0)</f>
        <v>0.000347222222222222</v>
      </c>
      <c r="F343" s="6" t="n">
        <f aca="false">(A343-1)*Summary!$B$5+INDEX('Running Order'!$F$2:$F$225,B343)</f>
        <v>46296.5993287037</v>
      </c>
      <c r="G343" s="6" t="n">
        <f aca="false">F343+E343</f>
        <v>46296.5996759259</v>
      </c>
      <c r="H343" s="24" t="str">
        <f aca="false">IF(INDEX('Running Order'!$B$2:$B$225,B343)="Y","on air","dropped")</f>
        <v>on air</v>
      </c>
      <c r="I343" s="24" t="str">
        <f aca="false">IF(F343&lt;Summary!$B$4+1,"yes","")</f>
        <v>yes</v>
      </c>
    </row>
    <row r="344" customFormat="false" ht="15" hidden="false" customHeight="false" outlineLevel="0" collapsed="false">
      <c r="A344" s="24" t="n">
        <f aca="false">INT((ROW()-2)/Summary!$B$8)+1</f>
        <v>2</v>
      </c>
      <c r="B344" s="24" t="n">
        <f aca="false">MOD(ROW()-2,Summary!$B$8)+1</f>
        <v>119</v>
      </c>
      <c r="C344" s="24" t="str">
        <f aca="false">INDEX('Running Order'!$C$2:$C$225,B344)</f>
        <v>TATTASE TV STING</v>
      </c>
      <c r="D344" s="24" t="str">
        <f aca="false">INDEX('Running Order'!$D$2:$D$225,B344)</f>
        <v>Sting</v>
      </c>
      <c r="E344" s="5" t="n">
        <f aca="false">IF(INDEX('Running Order'!$B$2:$B$225,B344)="Y",INDEX('Running Order'!$E$2:$E$225,B344),0)</f>
        <v>6.94444444444444E-005</v>
      </c>
      <c r="F344" s="6" t="n">
        <f aca="false">(A344-1)*Summary!$B$5+INDEX('Running Order'!$F$2:$F$225,B344)</f>
        <v>46296.5996759259</v>
      </c>
      <c r="G344" s="6" t="n">
        <f aca="false">F344+E344</f>
        <v>46296.5997453704</v>
      </c>
      <c r="H344" s="24" t="str">
        <f aca="false">IF(INDEX('Running Order'!$B$2:$B$225,B344)="Y","on air","dropped")</f>
        <v>on air</v>
      </c>
      <c r="I344" s="24" t="str">
        <f aca="false">IF(F344&lt;Summary!$B$4+1,"yes","")</f>
        <v>yes</v>
      </c>
    </row>
    <row r="345" customFormat="false" ht="15" hidden="false" customHeight="false" outlineLevel="0" collapsed="false">
      <c r="A345" s="24" t="n">
        <f aca="false">INT((ROW()-2)/Summary!$B$8)+1</f>
        <v>2</v>
      </c>
      <c r="B345" s="24" t="n">
        <f aca="false">MOD(ROW()-2,Summary!$B$8)+1</f>
        <v>120</v>
      </c>
      <c r="C345" s="24" t="str">
        <f aca="false">INDEX('Running Order'!$C$2:$C$225,B345)</f>
        <v>CHEF EHIS FOR TV</v>
      </c>
      <c r="D345" s="24" t="str">
        <f aca="false">INDEX('Running Order'!$D$2:$D$225,B345)</f>
        <v>Programme</v>
      </c>
      <c r="E345" s="5" t="n">
        <f aca="false">IF(INDEX('Running Order'!$B$2:$B$225,B345)="Y",INDEX('Running Order'!$E$2:$E$225,B345),0)</f>
        <v>0.0207060185185185</v>
      </c>
      <c r="F345" s="6" t="n">
        <f aca="false">(A345-1)*Summary!$B$5+INDEX('Running Order'!$F$2:$F$225,B345)</f>
        <v>46296.5997453704</v>
      </c>
      <c r="G345" s="6" t="n">
        <f aca="false">F345+E345</f>
        <v>46296.6204513889</v>
      </c>
      <c r="H345" s="24" t="str">
        <f aca="false">IF(INDEX('Running Order'!$B$2:$B$225,B345)="Y","on air","dropped")</f>
        <v>on air</v>
      </c>
      <c r="I345" s="24" t="str">
        <f aca="false">IF(F345&lt;Summary!$B$4+1,"yes","")</f>
        <v>yes</v>
      </c>
    </row>
    <row r="346" customFormat="false" ht="15" hidden="false" customHeight="false" outlineLevel="0" collapsed="false">
      <c r="A346" s="24" t="n">
        <f aca="false">INT((ROW()-2)/Summary!$B$8)+1</f>
        <v>2</v>
      </c>
      <c r="B346" s="24" t="n">
        <f aca="false">MOD(ROW()-2,Summary!$B$8)+1</f>
        <v>121</v>
      </c>
      <c r="C346" s="24" t="str">
        <f aca="false">INDEX('Running Order'!$C$2:$C$225,B346)</f>
        <v>Coffee on work table sting</v>
      </c>
      <c r="D346" s="24" t="str">
        <f aca="false">INDEX('Running Order'!$D$2:$D$225,B346)</f>
        <v>Sting</v>
      </c>
      <c r="E346" s="5" t="n">
        <f aca="false">IF(INDEX('Running Order'!$B$2:$B$225,B346)="Y",INDEX('Running Order'!$E$2:$E$225,B346),0)</f>
        <v>9.25925925925926E-005</v>
      </c>
      <c r="F346" s="6" t="n">
        <f aca="false">(A346-1)*Summary!$B$5+INDEX('Running Order'!$F$2:$F$225,B346)</f>
        <v>46296.6204513889</v>
      </c>
      <c r="G346" s="6" t="n">
        <f aca="false">F346+E346</f>
        <v>46296.6205439815</v>
      </c>
      <c r="H346" s="24" t="str">
        <f aca="false">IF(INDEX('Running Order'!$B$2:$B$225,B346)="Y","on air","dropped")</f>
        <v>on air</v>
      </c>
      <c r="I346" s="24" t="str">
        <f aca="false">IF(F346&lt;Summary!$B$4+1,"yes","")</f>
        <v>yes</v>
      </c>
    </row>
    <row r="347" customFormat="false" ht="15" hidden="false" customHeight="false" outlineLevel="0" collapsed="false">
      <c r="A347" s="24" t="n">
        <f aca="false">INT((ROW()-2)/Summary!$B$8)+1</f>
        <v>2</v>
      </c>
      <c r="B347" s="24" t="n">
        <f aca="false">MOD(ROW()-2,Summary!$B$8)+1</f>
        <v>122</v>
      </c>
      <c r="C347" s="24" t="str">
        <f aca="false">INDEX('Running Order'!$C$2:$C$225,B347)</f>
        <v>Hilda Bacis inspiring NoLimits Story</v>
      </c>
      <c r="D347" s="24" t="str">
        <f aca="false">INDEX('Running Order'!$D$2:$D$225,B347)</f>
        <v>Programme</v>
      </c>
      <c r="E347" s="5" t="n">
        <f aca="false">IF(INDEX('Running Order'!$B$2:$B$225,B347)="Y",INDEX('Running Order'!$E$2:$E$225,B347),0)</f>
        <v>0.00340277777777778</v>
      </c>
      <c r="F347" s="6" t="n">
        <f aca="false">(A347-1)*Summary!$B$5+INDEX('Running Order'!$F$2:$F$225,B347)</f>
        <v>46296.6205439815</v>
      </c>
      <c r="G347" s="6" t="n">
        <f aca="false">F347+E347</f>
        <v>46296.6239467593</v>
      </c>
      <c r="H347" s="24" t="str">
        <f aca="false">IF(INDEX('Running Order'!$B$2:$B$225,B347)="Y","on air","dropped")</f>
        <v>on air</v>
      </c>
      <c r="I347" s="24" t="str">
        <f aca="false">IF(F347&lt;Summary!$B$4+1,"yes","")</f>
        <v>yes</v>
      </c>
    </row>
    <row r="348" customFormat="false" ht="15" hidden="false" customHeight="false" outlineLevel="0" collapsed="false">
      <c r="A348" s="24" t="n">
        <f aca="false">INT((ROW()-2)/Summary!$B$8)+1</f>
        <v>2</v>
      </c>
      <c r="B348" s="24" t="n">
        <f aca="false">MOD(ROW()-2,Summary!$B$8)+1</f>
        <v>123</v>
      </c>
      <c r="C348" s="24" t="str">
        <f aca="false">INDEX('Running Order'!$C$2:$C$225,B348)</f>
        <v>HOTEL EXPO 2023 DAY 1</v>
      </c>
      <c r="D348" s="24" t="str">
        <f aca="false">INDEX('Running Order'!$D$2:$D$225,B348)</f>
        <v>Short</v>
      </c>
      <c r="E348" s="5" t="n">
        <f aca="false">IF(INDEX('Running Order'!$B$2:$B$225,B348)="Y",INDEX('Running Order'!$E$2:$E$225,B348),0)</f>
        <v>0.00103009259259259</v>
      </c>
      <c r="F348" s="6" t="n">
        <f aca="false">(A348-1)*Summary!$B$5+INDEX('Running Order'!$F$2:$F$225,B348)</f>
        <v>46296.6239467593</v>
      </c>
      <c r="G348" s="6" t="n">
        <f aca="false">F348+E348</f>
        <v>46296.6249768519</v>
      </c>
      <c r="H348" s="24" t="str">
        <f aca="false">IF(INDEX('Running Order'!$B$2:$B$225,B348)="Y","on air","dropped")</f>
        <v>on air</v>
      </c>
      <c r="I348" s="24" t="str">
        <f aca="false">IF(F348&lt;Summary!$B$4+1,"yes","")</f>
        <v>yes</v>
      </c>
    </row>
    <row r="349" customFormat="false" ht="15" hidden="false" customHeight="false" outlineLevel="0" collapsed="false">
      <c r="A349" s="24" t="n">
        <f aca="false">INT((ROW()-2)/Summary!$B$8)+1</f>
        <v>2</v>
      </c>
      <c r="B349" s="24" t="n">
        <f aca="false">MOD(ROW()-2,Summary!$B$8)+1</f>
        <v>124</v>
      </c>
      <c r="C349" s="24" t="str">
        <f aca="false">INDEX('Running Order'!$C$2:$C$225,B349)</f>
        <v>CHANNEL MONTAGE</v>
      </c>
      <c r="D349" s="24" t="str">
        <f aca="false">INDEX('Running Order'!$D$2:$D$225,B349)</f>
        <v>Montage</v>
      </c>
      <c r="E349" s="5" t="n">
        <f aca="false">IF(INDEX('Running Order'!$B$2:$B$225,B349)="Y",INDEX('Running Order'!$E$2:$E$225,B349),0)</f>
        <v>0.000115740740740741</v>
      </c>
      <c r="F349" s="6" t="n">
        <f aca="false">(A349-1)*Summary!$B$5+INDEX('Running Order'!$F$2:$F$225,B349)</f>
        <v>46296.6249768519</v>
      </c>
      <c r="G349" s="6" t="n">
        <f aca="false">F349+E349</f>
        <v>46296.6250925926</v>
      </c>
      <c r="H349" s="24" t="str">
        <f aca="false">IF(INDEX('Running Order'!$B$2:$B$225,B349)="Y","on air","dropped")</f>
        <v>on air</v>
      </c>
      <c r="I349" s="24" t="str">
        <f aca="false">IF(F349&lt;Summary!$B$4+1,"yes","")</f>
        <v>yes</v>
      </c>
    </row>
    <row r="350" customFormat="false" ht="15" hidden="false" customHeight="false" outlineLevel="0" collapsed="false">
      <c r="A350" s="24" t="n">
        <f aca="false">INT((ROW()-2)/Summary!$B$8)+1</f>
        <v>2</v>
      </c>
      <c r="B350" s="24" t="n">
        <f aca="false">MOD(ROW()-2,Summary!$B$8)+1</f>
        <v>125</v>
      </c>
      <c r="C350" s="24" t="str">
        <f aca="false">INDEX('Running Order'!$C$2:$C$225,B350)</f>
        <v>PAPER PACKAGING COMP</v>
      </c>
      <c r="D350" s="24" t="str">
        <f aca="false">INDEX('Running Order'!$D$2:$D$225,B350)</f>
        <v>Programme</v>
      </c>
      <c r="E350" s="5" t="n">
        <f aca="false">IF(INDEX('Running Order'!$B$2:$B$225,B350)="Y",INDEX('Running Order'!$E$2:$E$225,B350),0)</f>
        <v>0.0021875</v>
      </c>
      <c r="F350" s="6" t="n">
        <f aca="false">(A350-1)*Summary!$B$5+INDEX('Running Order'!$F$2:$F$225,B350)</f>
        <v>46296.6250925926</v>
      </c>
      <c r="G350" s="6" t="n">
        <f aca="false">F350+E350</f>
        <v>46296.6272800926</v>
      </c>
      <c r="H350" s="24" t="str">
        <f aca="false">IF(INDEX('Running Order'!$B$2:$B$225,B350)="Y","on air","dropped")</f>
        <v>on air</v>
      </c>
      <c r="I350" s="24" t="str">
        <f aca="false">IF(F350&lt;Summary!$B$4+1,"yes","")</f>
        <v>yes</v>
      </c>
    </row>
    <row r="351" customFormat="false" ht="15" hidden="false" customHeight="false" outlineLevel="0" collapsed="false">
      <c r="A351" s="24" t="n">
        <f aca="false">INT((ROW()-2)/Summary!$B$8)+1</f>
        <v>2</v>
      </c>
      <c r="B351" s="24" t="n">
        <f aca="false">MOD(ROW()-2,Summary!$B$8)+1</f>
        <v>126</v>
      </c>
      <c r="C351" s="24" t="str">
        <f aca="false">INDEX('Running Order'!$C$2:$C$225,B351)</f>
        <v>TATTASE TV STING</v>
      </c>
      <c r="D351" s="24" t="str">
        <f aca="false">INDEX('Running Order'!$D$2:$D$225,B351)</f>
        <v>Sting</v>
      </c>
      <c r="E351" s="5" t="n">
        <f aca="false">IF(INDEX('Running Order'!$B$2:$B$225,B351)="Y",INDEX('Running Order'!$E$2:$E$225,B351),0)</f>
        <v>6.94444444444444E-005</v>
      </c>
      <c r="F351" s="6" t="n">
        <f aca="false">(A351-1)*Summary!$B$5+INDEX('Running Order'!$F$2:$F$225,B351)</f>
        <v>46296.6272800926</v>
      </c>
      <c r="G351" s="6" t="n">
        <f aca="false">F351+E351</f>
        <v>46296.627349537</v>
      </c>
      <c r="H351" s="24" t="str">
        <f aca="false">IF(INDEX('Running Order'!$B$2:$B$225,B351)="Y","on air","dropped")</f>
        <v>on air</v>
      </c>
      <c r="I351" s="24" t="str">
        <f aca="false">IF(F351&lt;Summary!$B$4+1,"yes","")</f>
        <v>yes</v>
      </c>
    </row>
    <row r="352" customFormat="false" ht="15" hidden="false" customHeight="false" outlineLevel="0" collapsed="false">
      <c r="A352" s="24" t="n">
        <f aca="false">INT((ROW()-2)/Summary!$B$8)+1</f>
        <v>2</v>
      </c>
      <c r="B352" s="24" t="n">
        <f aca="false">MOD(ROW()-2,Summary!$B$8)+1</f>
        <v>127</v>
      </c>
      <c r="C352" s="24" t="str">
        <f aca="false">INDEX('Running Order'!$C$2:$C$225,B352)</f>
        <v>the new Ayoola Poundo Yam Packs</v>
      </c>
      <c r="D352" s="24" t="str">
        <f aca="false">INDEX('Running Order'!$D$2:$D$225,B352)</f>
        <v>Commercial</v>
      </c>
      <c r="E352" s="5" t="n">
        <f aca="false">IF(INDEX('Running Order'!$B$2:$B$225,B352)="Y",INDEX('Running Order'!$E$2:$E$225,B352),0)</f>
        <v>0.00149305555555556</v>
      </c>
      <c r="F352" s="6" t="n">
        <f aca="false">(A352-1)*Summary!$B$5+INDEX('Running Order'!$F$2:$F$225,B352)</f>
        <v>46296.627349537</v>
      </c>
      <c r="G352" s="6" t="n">
        <f aca="false">F352+E352</f>
        <v>46296.6288425926</v>
      </c>
      <c r="H352" s="24" t="str">
        <f aca="false">IF(INDEX('Running Order'!$B$2:$B$225,B352)="Y","on air","dropped")</f>
        <v>on air</v>
      </c>
      <c r="I352" s="24" t="str">
        <f aca="false">IF(F352&lt;Summary!$B$4+1,"yes","")</f>
        <v>yes</v>
      </c>
    </row>
    <row r="353" customFormat="false" ht="15" hidden="false" customHeight="false" outlineLevel="0" collapsed="false">
      <c r="A353" s="24" t="n">
        <f aca="false">INT((ROW()-2)/Summary!$B$8)+1</f>
        <v>2</v>
      </c>
      <c r="B353" s="24" t="n">
        <f aca="false">MOD(ROW()-2,Summary!$B$8)+1</f>
        <v>128</v>
      </c>
      <c r="C353" s="24" t="str">
        <f aca="false">INDEX('Running Order'!$C$2:$C$225,B353)</f>
        <v>DANO N HILDA 2</v>
      </c>
      <c r="D353" s="24" t="str">
        <f aca="false">INDEX('Running Order'!$D$2:$D$225,B353)</f>
        <v>Commercial</v>
      </c>
      <c r="E353" s="5" t="n">
        <f aca="false">IF(INDEX('Running Order'!$B$2:$B$225,B353)="Y",INDEX('Running Order'!$E$2:$E$225,B353),0)</f>
        <v>0.00149305555555556</v>
      </c>
      <c r="F353" s="6" t="n">
        <f aca="false">(A353-1)*Summary!$B$5+INDEX('Running Order'!$F$2:$F$225,B353)</f>
        <v>46296.6288425926</v>
      </c>
      <c r="G353" s="6" t="n">
        <f aca="false">F353+E353</f>
        <v>46296.6303356482</v>
      </c>
      <c r="H353" s="24" t="str">
        <f aca="false">IF(INDEX('Running Order'!$B$2:$B$225,B353)="Y","on air","dropped")</f>
        <v>on air</v>
      </c>
      <c r="I353" s="24" t="str">
        <f aca="false">IF(F353&lt;Summary!$B$4+1,"yes","")</f>
        <v>yes</v>
      </c>
    </row>
    <row r="354" customFormat="false" ht="15" hidden="false" customHeight="false" outlineLevel="0" collapsed="false">
      <c r="A354" s="24" t="n">
        <f aca="false">INT((ROW()-2)/Summary!$B$8)+1</f>
        <v>2</v>
      </c>
      <c r="B354" s="24" t="n">
        <f aca="false">MOD(ROW()-2,Summary!$B$8)+1</f>
        <v>129</v>
      </c>
      <c r="C354" s="24" t="str">
        <f aca="false">INDEX('Running Order'!$C$2:$C$225,B354)</f>
        <v>Look What Naa Made With NutriDay Episode 2</v>
      </c>
      <c r="D354" s="24" t="str">
        <f aca="false">INDEX('Running Order'!$D$2:$D$225,B354)</f>
        <v>Short</v>
      </c>
      <c r="E354" s="5" t="n">
        <f aca="false">IF(INDEX('Running Order'!$B$2:$B$225,B354)="Y",INDEX('Running Order'!$E$2:$E$225,B354),0)</f>
        <v>0.00131944444444444</v>
      </c>
      <c r="F354" s="6" t="n">
        <f aca="false">(A354-1)*Summary!$B$5+INDEX('Running Order'!$F$2:$F$225,B354)</f>
        <v>46296.6303356482</v>
      </c>
      <c r="G354" s="6" t="n">
        <f aca="false">F354+E354</f>
        <v>46296.6316550926</v>
      </c>
      <c r="H354" s="24" t="str">
        <f aca="false">IF(INDEX('Running Order'!$B$2:$B$225,B354)="Y","on air","dropped")</f>
        <v>on air</v>
      </c>
      <c r="I354" s="24" t="str">
        <f aca="false">IF(F354&lt;Summary!$B$4+1,"yes","")</f>
        <v>yes</v>
      </c>
    </row>
    <row r="355" customFormat="false" ht="15" hidden="false" customHeight="false" outlineLevel="0" collapsed="false">
      <c r="A355" s="24" t="n">
        <f aca="false">INT((ROW()-2)/Summary!$B$8)+1</f>
        <v>2</v>
      </c>
      <c r="B355" s="24" t="n">
        <f aca="false">MOD(ROW()-2,Summary!$B$8)+1</f>
        <v>130</v>
      </c>
      <c r="C355" s="24" t="str">
        <f aca="false">INDEX('Running Order'!$C$2:$C$225,B355)</f>
        <v>Abenas Special Ebubuebunu Soup</v>
      </c>
      <c r="D355" s="24" t="str">
        <f aca="false">INDEX('Running Order'!$D$2:$D$225,B355)</f>
        <v>Programme</v>
      </c>
      <c r="E355" s="5" t="n">
        <f aca="false">IF(INDEX('Running Order'!$B$2:$B$225,B355)="Y",INDEX('Running Order'!$E$2:$E$225,B355),0)</f>
        <v>0.00454861111111111</v>
      </c>
      <c r="F355" s="6" t="n">
        <f aca="false">(A355-1)*Summary!$B$5+INDEX('Running Order'!$F$2:$F$225,B355)</f>
        <v>46296.6316550926</v>
      </c>
      <c r="G355" s="6" t="n">
        <f aca="false">F355+E355</f>
        <v>46296.6362037037</v>
      </c>
      <c r="H355" s="24" t="str">
        <f aca="false">IF(INDEX('Running Order'!$B$2:$B$225,B355)="Y","on air","dropped")</f>
        <v>on air</v>
      </c>
      <c r="I355" s="24" t="str">
        <f aca="false">IF(F355&lt;Summary!$B$4+1,"yes","")</f>
        <v>yes</v>
      </c>
    </row>
    <row r="356" customFormat="false" ht="15" hidden="false" customHeight="false" outlineLevel="0" collapsed="false">
      <c r="A356" s="24" t="n">
        <f aca="false">INT((ROW()-2)/Summary!$B$8)+1</f>
        <v>2</v>
      </c>
      <c r="B356" s="24" t="n">
        <f aca="false">MOD(ROW()-2,Summary!$B$8)+1</f>
        <v>131</v>
      </c>
      <c r="C356" s="24" t="str">
        <f aca="false">INDEX('Running Order'!$C$2:$C$225,B356)</f>
        <v>CHANNEL MONTAGE</v>
      </c>
      <c r="D356" s="24" t="str">
        <f aca="false">INDEX('Running Order'!$D$2:$D$225,B356)</f>
        <v>Montage</v>
      </c>
      <c r="E356" s="5" t="n">
        <f aca="false">IF(INDEX('Running Order'!$B$2:$B$225,B356)="Y",INDEX('Running Order'!$E$2:$E$225,B356),0)</f>
        <v>0.000115740740740741</v>
      </c>
      <c r="F356" s="6" t="n">
        <f aca="false">(A356-1)*Summary!$B$5+INDEX('Running Order'!$F$2:$F$225,B356)</f>
        <v>46296.6362037037</v>
      </c>
      <c r="G356" s="6" t="n">
        <f aca="false">F356+E356</f>
        <v>46296.6363194444</v>
      </c>
      <c r="H356" s="24" t="str">
        <f aca="false">IF(INDEX('Running Order'!$B$2:$B$225,B356)="Y","on air","dropped")</f>
        <v>on air</v>
      </c>
      <c r="I356" s="24" t="str">
        <f aca="false">IF(F356&lt;Summary!$B$4+1,"yes","")</f>
        <v>yes</v>
      </c>
    </row>
    <row r="357" customFormat="false" ht="15" hidden="false" customHeight="false" outlineLevel="0" collapsed="false">
      <c r="A357" s="24" t="n">
        <f aca="false">INT((ROW()-2)/Summary!$B$8)+1</f>
        <v>2</v>
      </c>
      <c r="B357" s="24" t="n">
        <f aca="false">MOD(ROW()-2,Summary!$B$8)+1</f>
        <v>132</v>
      </c>
      <c r="C357" s="24" t="str">
        <f aca="false">INDEX('Running Order'!$C$2:$C$225,B357)</f>
        <v>Knorr Good Jollof Smokey Jollof Rice</v>
      </c>
      <c r="D357" s="24" t="str">
        <f aca="false">INDEX('Running Order'!$D$2:$D$225,B357)</f>
        <v>Short</v>
      </c>
      <c r="E357" s="5" t="n">
        <f aca="false">IF(INDEX('Running Order'!$B$2:$B$225,B357)="Y",INDEX('Running Order'!$E$2:$E$225,B357),0)</f>
        <v>0.000659722222222222</v>
      </c>
      <c r="F357" s="6" t="n">
        <f aca="false">(A357-1)*Summary!$B$5+INDEX('Running Order'!$F$2:$F$225,B357)</f>
        <v>46296.6363194444</v>
      </c>
      <c r="G357" s="6" t="n">
        <f aca="false">F357+E357</f>
        <v>46296.6369791667</v>
      </c>
      <c r="H357" s="24" t="str">
        <f aca="false">IF(INDEX('Running Order'!$B$2:$B$225,B357)="Y","on air","dropped")</f>
        <v>on air</v>
      </c>
      <c r="I357" s="24" t="str">
        <f aca="false">IF(F357&lt;Summary!$B$4+1,"yes","")</f>
        <v>yes</v>
      </c>
    </row>
    <row r="358" customFormat="false" ht="15" hidden="false" customHeight="false" outlineLevel="0" collapsed="false">
      <c r="A358" s="24" t="n">
        <f aca="false">INT((ROW()-2)/Summary!$B$8)+1</f>
        <v>2</v>
      </c>
      <c r="B358" s="24" t="n">
        <f aca="false">MOD(ROW()-2,Summary!$B$8)+1</f>
        <v>133</v>
      </c>
      <c r="C358" s="24" t="str">
        <f aca="false">INDEX('Running Order'!$C$2:$C$225,B358)</f>
        <v>GTCO F&amp;D TV8</v>
      </c>
      <c r="D358" s="24" t="str">
        <f aca="false">INDEX('Running Order'!$D$2:$D$225,B358)</f>
        <v>Short</v>
      </c>
      <c r="E358" s="5" t="n">
        <f aca="false">IF(INDEX('Running Order'!$B$2:$B$225,B358)="Y",INDEX('Running Order'!$E$2:$E$225,B358),0)</f>
        <v>0.000590277777777778</v>
      </c>
      <c r="F358" s="6" t="n">
        <f aca="false">(A358-1)*Summary!$B$5+INDEX('Running Order'!$F$2:$F$225,B358)</f>
        <v>46296.6369791667</v>
      </c>
      <c r="G358" s="6" t="n">
        <f aca="false">F358+E358</f>
        <v>46296.6375694444</v>
      </c>
      <c r="H358" s="24" t="str">
        <f aca="false">IF(INDEX('Running Order'!$B$2:$B$225,B358)="Y","on air","dropped")</f>
        <v>on air</v>
      </c>
      <c r="I358" s="24" t="str">
        <f aca="false">IF(F358&lt;Summary!$B$4+1,"yes","")</f>
        <v>yes</v>
      </c>
    </row>
    <row r="359" customFormat="false" ht="15" hidden="false" customHeight="false" outlineLevel="0" collapsed="false">
      <c r="A359" s="24" t="n">
        <f aca="false">INT((ROW()-2)/Summary!$B$8)+1</f>
        <v>2</v>
      </c>
      <c r="B359" s="24" t="n">
        <f aca="false">MOD(ROW()-2,Summary!$B$8)+1</f>
        <v>134</v>
      </c>
      <c r="C359" s="24" t="str">
        <f aca="false">INDEX('Running Order'!$C$2:$C$225,B359)</f>
        <v>Be a Fressia Millionaire</v>
      </c>
      <c r="D359" s="24" t="str">
        <f aca="false">INDEX('Running Order'!$D$2:$D$225,B359)</f>
        <v>Commercial</v>
      </c>
      <c r="E359" s="5" t="n">
        <f aca="false">IF(INDEX('Running Order'!$B$2:$B$225,B359)="Y",INDEX('Running Order'!$E$2:$E$225,B359),0)</f>
        <v>0.000439814814814815</v>
      </c>
      <c r="F359" s="6" t="n">
        <f aca="false">(A359-1)*Summary!$B$5+INDEX('Running Order'!$F$2:$F$225,B359)</f>
        <v>46296.6375694444</v>
      </c>
      <c r="G359" s="6" t="n">
        <f aca="false">F359+E359</f>
        <v>46296.6380092593</v>
      </c>
      <c r="H359" s="24" t="str">
        <f aca="false">IF(INDEX('Running Order'!$B$2:$B$225,B359)="Y","on air","dropped")</f>
        <v>on air</v>
      </c>
      <c r="I359" s="24" t="str">
        <f aca="false">IF(F359&lt;Summary!$B$4+1,"yes","")</f>
        <v>yes</v>
      </c>
    </row>
    <row r="360" customFormat="false" ht="15" hidden="false" customHeight="false" outlineLevel="0" collapsed="false">
      <c r="A360" s="24" t="n">
        <f aca="false">INT((ROW()-2)/Summary!$B$8)+1</f>
        <v>2</v>
      </c>
      <c r="B360" s="24" t="n">
        <f aca="false">MOD(ROW()-2,Summary!$B$8)+1</f>
        <v>135</v>
      </c>
      <c r="C360" s="24" t="str">
        <f aca="false">INDEX('Running Order'!$C$2:$C$225,B360)</f>
        <v>TATTASE TV STING</v>
      </c>
      <c r="D360" s="24" t="str">
        <f aca="false">INDEX('Running Order'!$D$2:$D$225,B360)</f>
        <v>Sting</v>
      </c>
      <c r="E360" s="5" t="n">
        <f aca="false">IF(INDEX('Running Order'!$B$2:$B$225,B360)="Y",INDEX('Running Order'!$E$2:$E$225,B360),0)</f>
        <v>6.94444444444444E-005</v>
      </c>
      <c r="F360" s="6" t="n">
        <f aca="false">(A360-1)*Summary!$B$5+INDEX('Running Order'!$F$2:$F$225,B360)</f>
        <v>46296.6380092593</v>
      </c>
      <c r="G360" s="6" t="n">
        <f aca="false">F360+E360</f>
        <v>46296.6380787037</v>
      </c>
      <c r="H360" s="24" t="str">
        <f aca="false">IF(INDEX('Running Order'!$B$2:$B$225,B360)="Y","on air","dropped")</f>
        <v>on air</v>
      </c>
      <c r="I360" s="24" t="str">
        <f aca="false">IF(F360&lt;Summary!$B$4+1,"yes","")</f>
        <v>yes</v>
      </c>
    </row>
    <row r="361" customFormat="false" ht="15" hidden="false" customHeight="false" outlineLevel="0" collapsed="false">
      <c r="A361" s="24" t="n">
        <f aca="false">INT((ROW()-2)/Summary!$B$8)+1</f>
        <v>2</v>
      </c>
      <c r="B361" s="24" t="n">
        <f aca="false">MOD(ROW()-2,Summary!$B$8)+1</f>
        <v>136</v>
      </c>
      <c r="C361" s="24" t="str">
        <f aca="false">INDEX('Running Order'!$C$2:$C$225,B361)</f>
        <v>HEN_FULL VIDEO FOR TV FINAL</v>
      </c>
      <c r="D361" s="24" t="str">
        <f aca="false">INDEX('Running Order'!$D$2:$D$225,B361)</f>
        <v>Programme</v>
      </c>
      <c r="E361" s="5" t="n">
        <f aca="false">IF(INDEX('Running Order'!$B$2:$B$225,B361)="Y",INDEX('Running Order'!$E$2:$E$225,B361),0)</f>
        <v>0.0197569444444445</v>
      </c>
      <c r="F361" s="6" t="n">
        <f aca="false">(A361-1)*Summary!$B$5+INDEX('Running Order'!$F$2:$F$225,B361)</f>
        <v>46296.6380787037</v>
      </c>
      <c r="G361" s="6" t="n">
        <f aca="false">F361+E361</f>
        <v>46296.6578356482</v>
      </c>
      <c r="H361" s="24" t="str">
        <f aca="false">IF(INDEX('Running Order'!$B$2:$B$225,B361)="Y","on air","dropped")</f>
        <v>on air</v>
      </c>
      <c r="I361" s="24" t="str">
        <f aca="false">IF(F361&lt;Summary!$B$4+1,"yes","")</f>
        <v>yes</v>
      </c>
    </row>
    <row r="362" customFormat="false" ht="15" hidden="false" customHeight="false" outlineLevel="0" collapsed="false">
      <c r="A362" s="24" t="n">
        <f aca="false">INT((ROW()-2)/Summary!$B$8)+1</f>
        <v>2</v>
      </c>
      <c r="B362" s="24" t="n">
        <f aca="false">MOD(ROW()-2,Summary!$B$8)+1</f>
        <v>137</v>
      </c>
      <c r="C362" s="24" t="str">
        <f aca="false">INDEX('Running Order'!$C$2:$C$225,B362)</f>
        <v>TATTASE TV STING</v>
      </c>
      <c r="D362" s="24" t="str">
        <f aca="false">INDEX('Running Order'!$D$2:$D$225,B362)</f>
        <v>Sting</v>
      </c>
      <c r="E362" s="5" t="n">
        <f aca="false">IF(INDEX('Running Order'!$B$2:$B$225,B362)="Y",INDEX('Running Order'!$E$2:$E$225,B362),0)</f>
        <v>6.94444444444444E-005</v>
      </c>
      <c r="F362" s="6" t="n">
        <f aca="false">(A362-1)*Summary!$B$5+INDEX('Running Order'!$F$2:$F$225,B362)</f>
        <v>46296.6578356482</v>
      </c>
      <c r="G362" s="6" t="n">
        <f aca="false">F362+E362</f>
        <v>46296.6579050926</v>
      </c>
      <c r="H362" s="24" t="str">
        <f aca="false">IF(INDEX('Running Order'!$B$2:$B$225,B362)="Y","on air","dropped")</f>
        <v>on air</v>
      </c>
      <c r="I362" s="24" t="str">
        <f aca="false">IF(F362&lt;Summary!$B$4+1,"yes","")</f>
        <v>yes</v>
      </c>
    </row>
    <row r="363" customFormat="false" ht="15" hidden="false" customHeight="false" outlineLevel="0" collapsed="false">
      <c r="A363" s="24" t="n">
        <f aca="false">INT((ROW()-2)/Summary!$B$8)+1</f>
        <v>2</v>
      </c>
      <c r="B363" s="24" t="n">
        <f aca="false">MOD(ROW()-2,Summary!$B$8)+1</f>
        <v>138</v>
      </c>
      <c r="C363" s="24" t="str">
        <f aca="false">INDEX('Running Order'!$C$2:$C$225,B363)</f>
        <v>TECNO FOOD WITH TIWA SAVAGE real</v>
      </c>
      <c r="D363" s="24" t="str">
        <f aca="false">INDEX('Running Order'!$D$2:$D$225,B363)</f>
        <v>Commercial</v>
      </c>
      <c r="E363" s="5" t="n">
        <f aca="false">IF(INDEX('Running Order'!$B$2:$B$225,B363)="Y",INDEX('Running Order'!$E$2:$E$225,B363),0)</f>
        <v>0.000335648148148148</v>
      </c>
      <c r="F363" s="6" t="n">
        <f aca="false">(A363-1)*Summary!$B$5+INDEX('Running Order'!$F$2:$F$225,B363)</f>
        <v>46296.6579050926</v>
      </c>
      <c r="G363" s="6" t="n">
        <f aca="false">F363+E363</f>
        <v>46296.6582407407</v>
      </c>
      <c r="H363" s="24" t="str">
        <f aca="false">IF(INDEX('Running Order'!$B$2:$B$225,B363)="Y","on air","dropped")</f>
        <v>on air</v>
      </c>
      <c r="I363" s="24" t="str">
        <f aca="false">IF(F363&lt;Summary!$B$4+1,"yes","")</f>
        <v>yes</v>
      </c>
    </row>
    <row r="364" customFormat="false" ht="15" hidden="false" customHeight="false" outlineLevel="0" collapsed="false">
      <c r="A364" s="24" t="n">
        <f aca="false">INT((ROW()-2)/Summary!$B$8)+1</f>
        <v>2</v>
      </c>
      <c r="B364" s="24" t="n">
        <f aca="false">MOD(ROW()-2,Summary!$B$8)+1</f>
        <v>139</v>
      </c>
      <c r="C364" s="24" t="str">
        <f aca="false">INDEX('Running Order'!$C$2:$C$225,B364)</f>
        <v>RITE FOODS SAUSAGE ROLLS for tv</v>
      </c>
      <c r="D364" s="24" t="str">
        <f aca="false">INDEX('Running Order'!$D$2:$D$225,B364)</f>
        <v>Commercial</v>
      </c>
      <c r="E364" s="5" t="n">
        <f aca="false">IF(INDEX('Running Order'!$B$2:$B$225,B364)="Y",INDEX('Running Order'!$E$2:$E$225,B364),0)</f>
        <v>0.000694444444444445</v>
      </c>
      <c r="F364" s="6" t="n">
        <f aca="false">(A364-1)*Summary!$B$5+INDEX('Running Order'!$F$2:$F$225,B364)</f>
        <v>46296.6582407407</v>
      </c>
      <c r="G364" s="6" t="n">
        <f aca="false">F364+E364</f>
        <v>46296.6589351852</v>
      </c>
      <c r="H364" s="24" t="str">
        <f aca="false">IF(INDEX('Running Order'!$B$2:$B$225,B364)="Y","on air","dropped")</f>
        <v>on air</v>
      </c>
      <c r="I364" s="24" t="str">
        <f aca="false">IF(F364&lt;Summary!$B$4+1,"yes","")</f>
        <v>yes</v>
      </c>
    </row>
    <row r="365" customFormat="false" ht="15" hidden="false" customHeight="false" outlineLevel="0" collapsed="false">
      <c r="A365" s="24" t="n">
        <f aca="false">INT((ROW()-2)/Summary!$B$8)+1</f>
        <v>2</v>
      </c>
      <c r="B365" s="24" t="n">
        <f aca="false">MOD(ROW()-2,Summary!$B$8)+1</f>
        <v>140</v>
      </c>
      <c r="C365" s="24" t="str">
        <f aca="false">INDEX('Running Order'!$C$2:$C$225,B365)</f>
        <v>CHANNEL MONTAGE</v>
      </c>
      <c r="D365" s="24" t="str">
        <f aca="false">INDEX('Running Order'!$D$2:$D$225,B365)</f>
        <v>Montage</v>
      </c>
      <c r="E365" s="5" t="n">
        <f aca="false">IF(INDEX('Running Order'!$B$2:$B$225,B365)="Y",INDEX('Running Order'!$E$2:$E$225,B365),0)</f>
        <v>6.94444444444444E-005</v>
      </c>
      <c r="F365" s="6" t="n">
        <f aca="false">(A365-1)*Summary!$B$5+INDEX('Running Order'!$F$2:$F$225,B365)</f>
        <v>46296.6589351852</v>
      </c>
      <c r="G365" s="6" t="n">
        <f aca="false">F365+E365</f>
        <v>46296.6590046296</v>
      </c>
      <c r="H365" s="24" t="str">
        <f aca="false">IF(INDEX('Running Order'!$B$2:$B$225,B365)="Y","on air","dropped")</f>
        <v>on air</v>
      </c>
      <c r="I365" s="24" t="str">
        <f aca="false">IF(F365&lt;Summary!$B$4+1,"yes","")</f>
        <v>yes</v>
      </c>
    </row>
    <row r="366" customFormat="false" ht="15" hidden="false" customHeight="false" outlineLevel="0" collapsed="false">
      <c r="A366" s="24" t="n">
        <f aca="false">INT((ROW()-2)/Summary!$B$8)+1</f>
        <v>2</v>
      </c>
      <c r="B366" s="24" t="n">
        <f aca="false">MOD(ROW()-2,Summary!$B$8)+1</f>
        <v>141</v>
      </c>
      <c r="C366" s="24" t="str">
        <f aca="false">INDEX('Running Order'!$C$2:$C$225,B366)</f>
        <v>PROPAK FOR TV</v>
      </c>
      <c r="D366" s="24" t="str">
        <f aca="false">INDEX('Running Order'!$D$2:$D$225,B366)</f>
        <v>Programme</v>
      </c>
      <c r="E366" s="5" t="n">
        <f aca="false">IF(INDEX('Running Order'!$B$2:$B$225,B366)="Y",INDEX('Running Order'!$E$2:$E$225,B366),0)</f>
        <v>0.0228819444444444</v>
      </c>
      <c r="F366" s="6" t="n">
        <f aca="false">(A366-1)*Summary!$B$5+INDEX('Running Order'!$F$2:$F$225,B366)</f>
        <v>46296.6590046296</v>
      </c>
      <c r="G366" s="6" t="n">
        <f aca="false">F366+E366</f>
        <v>46296.6818865741</v>
      </c>
      <c r="H366" s="24" t="str">
        <f aca="false">IF(INDEX('Running Order'!$B$2:$B$225,B366)="Y","on air","dropped")</f>
        <v>on air</v>
      </c>
      <c r="I366" s="24" t="str">
        <f aca="false">IF(F366&lt;Summary!$B$4+1,"yes","")</f>
        <v>yes</v>
      </c>
    </row>
    <row r="367" customFormat="false" ht="15" hidden="false" customHeight="false" outlineLevel="0" collapsed="false">
      <c r="A367" s="24" t="n">
        <f aca="false">INT((ROW()-2)/Summary!$B$8)+1</f>
        <v>2</v>
      </c>
      <c r="B367" s="24" t="n">
        <f aca="false">MOD(ROW()-2,Summary!$B$8)+1</f>
        <v>142</v>
      </c>
      <c r="C367" s="24" t="str">
        <f aca="false">INDEX('Running Order'!$C$2:$C$225,B367)</f>
        <v>TATTASE TV STING</v>
      </c>
      <c r="D367" s="24" t="str">
        <f aca="false">INDEX('Running Order'!$D$2:$D$225,B367)</f>
        <v>Sting</v>
      </c>
      <c r="E367" s="5" t="n">
        <f aca="false">IF(INDEX('Running Order'!$B$2:$B$225,B367)="Y",INDEX('Running Order'!$E$2:$E$225,B367),0)</f>
        <v>6.94444444444444E-005</v>
      </c>
      <c r="F367" s="6" t="n">
        <f aca="false">(A367-1)*Summary!$B$5+INDEX('Running Order'!$F$2:$F$225,B367)</f>
        <v>46296.6818865741</v>
      </c>
      <c r="G367" s="6" t="n">
        <f aca="false">F367+E367</f>
        <v>46296.6819560185</v>
      </c>
      <c r="H367" s="24" t="str">
        <f aca="false">IF(INDEX('Running Order'!$B$2:$B$225,B367)="Y","on air","dropped")</f>
        <v>on air</v>
      </c>
      <c r="I367" s="24" t="str">
        <f aca="false">IF(F367&lt;Summary!$B$4+1,"yes","")</f>
        <v>yes</v>
      </c>
    </row>
    <row r="368" customFormat="false" ht="15" hidden="false" customHeight="false" outlineLevel="0" collapsed="false">
      <c r="A368" s="24" t="n">
        <f aca="false">INT((ROW()-2)/Summary!$B$8)+1</f>
        <v>2</v>
      </c>
      <c r="B368" s="24" t="n">
        <f aca="false">MOD(ROW()-2,Summary!$B$8)+1</f>
        <v>143</v>
      </c>
      <c r="C368" s="24" t="str">
        <f aca="false">INDEX('Running Order'!$C$2:$C$225,B368)</f>
        <v>Mamador WIMCA conference</v>
      </c>
      <c r="D368" s="24" t="str">
        <f aca="false">INDEX('Running Order'!$D$2:$D$225,B368)</f>
        <v>Short</v>
      </c>
      <c r="E368" s="5" t="n">
        <f aca="false">IF(INDEX('Running Order'!$B$2:$B$225,B368)="Y",INDEX('Running Order'!$E$2:$E$225,B368),0)</f>
        <v>0.000613425925925926</v>
      </c>
      <c r="F368" s="6" t="n">
        <f aca="false">(A368-1)*Summary!$B$5+INDEX('Running Order'!$F$2:$F$225,B368)</f>
        <v>46296.6819560185</v>
      </c>
      <c r="G368" s="6" t="n">
        <f aca="false">F368+E368</f>
        <v>46296.6825694444</v>
      </c>
      <c r="H368" s="24" t="str">
        <f aca="false">IF(INDEX('Running Order'!$B$2:$B$225,B368)="Y","on air","dropped")</f>
        <v>on air</v>
      </c>
      <c r="I368" s="24" t="str">
        <f aca="false">IF(F368&lt;Summary!$B$4+1,"yes","")</f>
        <v>yes</v>
      </c>
    </row>
    <row r="369" customFormat="false" ht="15" hidden="false" customHeight="false" outlineLevel="0" collapsed="false">
      <c r="A369" s="24" t="n">
        <f aca="false">INT((ROW()-2)/Summary!$B$8)+1</f>
        <v>2</v>
      </c>
      <c r="B369" s="24" t="n">
        <f aca="false">MOD(ROW()-2,Summary!$B$8)+1</f>
        <v>144</v>
      </c>
      <c r="C369" s="24" t="str">
        <f aca="false">INDEX('Running Order'!$C$2:$C$225,B369)</f>
        <v>MAGII O TA LENU SEASON 1 TRAILER</v>
      </c>
      <c r="D369" s="24" t="str">
        <f aca="false">INDEX('Running Order'!$D$2:$D$225,B369)</f>
        <v>Promo</v>
      </c>
      <c r="E369" s="5" t="n">
        <f aca="false">IF(INDEX('Running Order'!$B$2:$B$225,B369)="Y",INDEX('Running Order'!$E$2:$E$225,B369),0)</f>
        <v>0.000694444444444445</v>
      </c>
      <c r="F369" s="6" t="n">
        <f aca="false">(A369-1)*Summary!$B$5+INDEX('Running Order'!$F$2:$F$225,B369)</f>
        <v>46296.6825694444</v>
      </c>
      <c r="G369" s="6" t="n">
        <f aca="false">F369+E369</f>
        <v>46296.6832638889</v>
      </c>
      <c r="H369" s="24" t="str">
        <f aca="false">IF(INDEX('Running Order'!$B$2:$B$225,B369)="Y","on air","dropped")</f>
        <v>on air</v>
      </c>
      <c r="I369" s="24" t="str">
        <f aca="false">IF(F369&lt;Summary!$B$4+1,"yes","")</f>
        <v>yes</v>
      </c>
    </row>
    <row r="370" customFormat="false" ht="15" hidden="false" customHeight="false" outlineLevel="0" collapsed="false">
      <c r="A370" s="24" t="n">
        <f aca="false">INT((ROW()-2)/Summary!$B$8)+1</f>
        <v>2</v>
      </c>
      <c r="B370" s="24" t="n">
        <f aca="false">MOD(ROW()-2,Summary!$B$8)+1</f>
        <v>145</v>
      </c>
      <c r="C370" s="24" t="str">
        <f aca="false">INDEX('Running Order'!$C$2:$C$225,B370)</f>
        <v>PEPPERSOUP SPICE FILLER FOR TV</v>
      </c>
      <c r="D370" s="24" t="str">
        <f aca="false">INDEX('Running Order'!$D$2:$D$225,B370)</f>
        <v>Short</v>
      </c>
      <c r="E370" s="5" t="n">
        <f aca="false">IF(INDEX('Running Order'!$B$2:$B$225,B370)="Y",INDEX('Running Order'!$E$2:$E$225,B370),0)</f>
        <v>0.00087962962962963</v>
      </c>
      <c r="F370" s="6" t="n">
        <f aca="false">(A370-1)*Summary!$B$5+INDEX('Running Order'!$F$2:$F$225,B370)</f>
        <v>46296.6832638889</v>
      </c>
      <c r="G370" s="6" t="n">
        <f aca="false">F370+E370</f>
        <v>46296.6841435185</v>
      </c>
      <c r="H370" s="24" t="str">
        <f aca="false">IF(INDEX('Running Order'!$B$2:$B$225,B370)="Y","on air","dropped")</f>
        <v>on air</v>
      </c>
      <c r="I370" s="24" t="str">
        <f aca="false">IF(F370&lt;Summary!$B$4+1,"yes","")</f>
        <v>yes</v>
      </c>
    </row>
    <row r="371" customFormat="false" ht="15" hidden="false" customHeight="false" outlineLevel="0" collapsed="false">
      <c r="A371" s="24" t="n">
        <f aca="false">INT((ROW()-2)/Summary!$B$8)+1</f>
        <v>2</v>
      </c>
      <c r="B371" s="24" t="n">
        <f aca="false">MOD(ROW()-2,Summary!$B$8)+1</f>
        <v>146</v>
      </c>
      <c r="C371" s="24" t="str">
        <f aca="false">INDEX('Running Order'!$C$2:$C$225,B371)</f>
        <v>CHANNEL MONTAGE</v>
      </c>
      <c r="D371" s="24" t="str">
        <f aca="false">INDEX('Running Order'!$D$2:$D$225,B371)</f>
        <v>Montage</v>
      </c>
      <c r="E371" s="5" t="n">
        <f aca="false">IF(INDEX('Running Order'!$B$2:$B$225,B371)="Y",INDEX('Running Order'!$E$2:$E$225,B371),0)</f>
        <v>0.000115740740740741</v>
      </c>
      <c r="F371" s="6" t="n">
        <f aca="false">(A371-1)*Summary!$B$5+INDEX('Running Order'!$F$2:$F$225,B371)</f>
        <v>46296.6841435185</v>
      </c>
      <c r="G371" s="6" t="n">
        <f aca="false">F371+E371</f>
        <v>46296.6842592593</v>
      </c>
      <c r="H371" s="24" t="str">
        <f aca="false">IF(INDEX('Running Order'!$B$2:$B$225,B371)="Y","on air","dropped")</f>
        <v>on air</v>
      </c>
      <c r="I371" s="24" t="str">
        <f aca="false">IF(F371&lt;Summary!$B$4+1,"yes","")</f>
        <v>yes</v>
      </c>
    </row>
    <row r="372" customFormat="false" ht="15" hidden="false" customHeight="false" outlineLevel="0" collapsed="false">
      <c r="A372" s="24" t="n">
        <f aca="false">INT((ROW()-2)/Summary!$B$8)+1</f>
        <v>2</v>
      </c>
      <c r="B372" s="24" t="n">
        <f aca="false">MOD(ROW()-2,Summary!$B$8)+1</f>
        <v>147</v>
      </c>
      <c r="C372" s="24" t="str">
        <f aca="false">INDEX('Running Order'!$C$2:$C$225,B372)</f>
        <v>AGROFOOD DAY 1</v>
      </c>
      <c r="D372" s="24" t="str">
        <f aca="false">INDEX('Running Order'!$D$2:$D$225,B372)</f>
        <v>Programme</v>
      </c>
      <c r="E372" s="5" t="n">
        <f aca="false">IF(INDEX('Running Order'!$B$2:$B$225,B372)="Y",INDEX('Running Order'!$E$2:$E$225,B372),0)</f>
        <v>0.0223958333333333</v>
      </c>
      <c r="F372" s="6" t="n">
        <f aca="false">(A372-1)*Summary!$B$5+INDEX('Running Order'!$F$2:$F$225,B372)</f>
        <v>46296.6842592593</v>
      </c>
      <c r="G372" s="6" t="n">
        <f aca="false">F372+E372</f>
        <v>46296.7066550926</v>
      </c>
      <c r="H372" s="24" t="str">
        <f aca="false">IF(INDEX('Running Order'!$B$2:$B$225,B372)="Y","on air","dropped")</f>
        <v>on air</v>
      </c>
      <c r="I372" s="24" t="str">
        <f aca="false">IF(F372&lt;Summary!$B$4+1,"yes","")</f>
        <v>yes</v>
      </c>
    </row>
    <row r="373" customFormat="false" ht="15" hidden="false" customHeight="false" outlineLevel="0" collapsed="false">
      <c r="A373" s="24" t="n">
        <f aca="false">INT((ROW()-2)/Summary!$B$8)+1</f>
        <v>2</v>
      </c>
      <c r="B373" s="24" t="n">
        <f aca="false">MOD(ROW()-2,Summary!$B$8)+1</f>
        <v>148</v>
      </c>
      <c r="C373" s="24" t="str">
        <f aca="false">INDEX('Running Order'!$C$2:$C$225,B373)</f>
        <v>TATTASE TV STING</v>
      </c>
      <c r="D373" s="24" t="str">
        <f aca="false">INDEX('Running Order'!$D$2:$D$225,B373)</f>
        <v>Sting</v>
      </c>
      <c r="E373" s="5" t="n">
        <f aca="false">IF(INDEX('Running Order'!$B$2:$B$225,B373)="Y",INDEX('Running Order'!$E$2:$E$225,B373),0)</f>
        <v>6.94444444444444E-005</v>
      </c>
      <c r="F373" s="6" t="n">
        <f aca="false">(A373-1)*Summary!$B$5+INDEX('Running Order'!$F$2:$F$225,B373)</f>
        <v>46296.7066550926</v>
      </c>
      <c r="G373" s="6" t="n">
        <f aca="false">F373+E373</f>
        <v>46296.706724537</v>
      </c>
      <c r="H373" s="24" t="str">
        <f aca="false">IF(INDEX('Running Order'!$B$2:$B$225,B373)="Y","on air","dropped")</f>
        <v>on air</v>
      </c>
      <c r="I373" s="24" t="str">
        <f aca="false">IF(F373&lt;Summary!$B$4+1,"yes","")</f>
        <v>yes</v>
      </c>
    </row>
    <row r="374" customFormat="false" ht="15" hidden="false" customHeight="false" outlineLevel="0" collapsed="false">
      <c r="A374" s="24" t="n">
        <f aca="false">INT((ROW()-2)/Summary!$B$8)+1</f>
        <v>2</v>
      </c>
      <c r="B374" s="24" t="n">
        <f aca="false">MOD(ROW()-2,Summary!$B$8)+1</f>
        <v>149</v>
      </c>
      <c r="C374" s="24" t="str">
        <f aca="false">INDEX('Running Order'!$C$2:$C$225,B374)</f>
        <v>GOLDEN TERRA OIL</v>
      </c>
      <c r="D374" s="24" t="str">
        <f aca="false">INDEX('Running Order'!$D$2:$D$225,B374)</f>
        <v>Commercial</v>
      </c>
      <c r="E374" s="5" t="n">
        <f aca="false">IF(INDEX('Running Order'!$B$2:$B$225,B374)="Y",INDEX('Running Order'!$E$2:$E$225,B374),0)</f>
        <v>0.000694444444444445</v>
      </c>
      <c r="F374" s="6" t="n">
        <f aca="false">(A374-1)*Summary!$B$5+INDEX('Running Order'!$F$2:$F$225,B374)</f>
        <v>46296.706724537</v>
      </c>
      <c r="G374" s="6" t="n">
        <f aca="false">F374+E374</f>
        <v>46296.7074189815</v>
      </c>
      <c r="H374" s="24" t="str">
        <f aca="false">IF(INDEX('Running Order'!$B$2:$B$225,B374)="Y","on air","dropped")</f>
        <v>on air</v>
      </c>
      <c r="I374" s="24" t="str">
        <f aca="false">IF(F374&lt;Summary!$B$4+1,"yes","")</f>
        <v>yes</v>
      </c>
    </row>
    <row r="375" customFormat="false" ht="15" hidden="false" customHeight="false" outlineLevel="0" collapsed="false">
      <c r="A375" s="24" t="n">
        <f aca="false">INT((ROW()-2)/Summary!$B$8)+1</f>
        <v>2</v>
      </c>
      <c r="B375" s="24" t="n">
        <f aca="false">MOD(ROW()-2,Summary!$B$8)+1</f>
        <v>150</v>
      </c>
      <c r="C375" s="24" t="str">
        <f aca="false">INDEX('Running Order'!$C$2:$C$225,B375)</f>
        <v>kivo-video</v>
      </c>
      <c r="D375" s="24" t="str">
        <f aca="false">INDEX('Running Order'!$D$2:$D$225,B375)</f>
        <v>Commercial</v>
      </c>
      <c r="E375" s="5" t="n">
        <f aca="false">IF(INDEX('Running Order'!$B$2:$B$225,B375)="Y",INDEX('Running Order'!$E$2:$E$225,B375),0)</f>
        <v>0.000520833333333333</v>
      </c>
      <c r="F375" s="6" t="n">
        <f aca="false">(A375-1)*Summary!$B$5+INDEX('Running Order'!$F$2:$F$225,B375)</f>
        <v>46296.7074189815</v>
      </c>
      <c r="G375" s="6" t="n">
        <f aca="false">F375+E375</f>
        <v>46296.7079398148</v>
      </c>
      <c r="H375" s="24" t="str">
        <f aca="false">IF(INDEX('Running Order'!$B$2:$B$225,B375)="Y","on air","dropped")</f>
        <v>on air</v>
      </c>
      <c r="I375" s="24" t="str">
        <f aca="false">IF(F375&lt;Summary!$B$4+1,"yes","")</f>
        <v>yes</v>
      </c>
    </row>
    <row r="376" customFormat="false" ht="15" hidden="false" customHeight="false" outlineLevel="0" collapsed="false">
      <c r="A376" s="24" t="n">
        <f aca="false">INT((ROW()-2)/Summary!$B$8)+1</f>
        <v>2</v>
      </c>
      <c r="B376" s="24" t="n">
        <f aca="false">MOD(ROW()-2,Summary!$B$8)+1</f>
        <v>151</v>
      </c>
      <c r="C376" s="24" t="str">
        <f aca="false">INDEX('Running Order'!$C$2:$C$225,B376)</f>
        <v>TATTASE TV STING</v>
      </c>
      <c r="D376" s="24" t="str">
        <f aca="false">INDEX('Running Order'!$D$2:$D$225,B376)</f>
        <v>Sting</v>
      </c>
      <c r="E376" s="5" t="n">
        <f aca="false">IF(INDEX('Running Order'!$B$2:$B$225,B376)="Y",INDEX('Running Order'!$E$2:$E$225,B376),0)</f>
        <v>6.94444444444444E-005</v>
      </c>
      <c r="F376" s="6" t="n">
        <f aca="false">(A376-1)*Summary!$B$5+INDEX('Running Order'!$F$2:$F$225,B376)</f>
        <v>46296.7079398148</v>
      </c>
      <c r="G376" s="6" t="n">
        <f aca="false">F376+E376</f>
        <v>46296.7080092593</v>
      </c>
      <c r="H376" s="24" t="str">
        <f aca="false">IF(INDEX('Running Order'!$B$2:$B$225,B376)="Y","on air","dropped")</f>
        <v>on air</v>
      </c>
      <c r="I376" s="24" t="str">
        <f aca="false">IF(F376&lt;Summary!$B$4+1,"yes","")</f>
        <v>yes</v>
      </c>
    </row>
    <row r="377" customFormat="false" ht="15" hidden="false" customHeight="false" outlineLevel="0" collapsed="false">
      <c r="A377" s="24" t="n">
        <f aca="false">INT((ROW()-2)/Summary!$B$8)+1</f>
        <v>2</v>
      </c>
      <c r="B377" s="24" t="n">
        <f aca="false">MOD(ROW()-2,Summary!$B$8)+1</f>
        <v>152</v>
      </c>
      <c r="C377" s="24" t="str">
        <f aca="false">INDEX('Running Order'!$C$2:$C$225,B377)</f>
        <v>ONGA GHANA COOKS SEASON 1 EPISODE 1</v>
      </c>
      <c r="D377" s="24" t="str">
        <f aca="false">INDEX('Running Order'!$D$2:$D$225,B377)</f>
        <v>Programme</v>
      </c>
      <c r="E377" s="5" t="n">
        <f aca="false">IF(INDEX('Running Order'!$B$2:$B$225,B377)="Y",INDEX('Running Order'!$E$2:$E$225,B377),0)</f>
        <v>0.0208101851851852</v>
      </c>
      <c r="F377" s="6" t="n">
        <f aca="false">(A377-1)*Summary!$B$5+INDEX('Running Order'!$F$2:$F$225,B377)</f>
        <v>46296.7080092593</v>
      </c>
      <c r="G377" s="6" t="n">
        <f aca="false">F377+E377</f>
        <v>46296.7288194444</v>
      </c>
      <c r="H377" s="24" t="str">
        <f aca="false">IF(INDEX('Running Order'!$B$2:$B$225,B377)="Y","on air","dropped")</f>
        <v>on air</v>
      </c>
      <c r="I377" s="24" t="str">
        <f aca="false">IF(F377&lt;Summary!$B$4+1,"yes","")</f>
        <v>yes</v>
      </c>
    </row>
    <row r="378" customFormat="false" ht="15" hidden="false" customHeight="false" outlineLevel="0" collapsed="false">
      <c r="A378" s="24" t="n">
        <f aca="false">INT((ROW()-2)/Summary!$B$8)+1</f>
        <v>2</v>
      </c>
      <c r="B378" s="24" t="n">
        <f aca="false">MOD(ROW()-2,Summary!$B$8)+1</f>
        <v>153</v>
      </c>
      <c r="C378" s="24" t="str">
        <f aca="false">INDEX('Running Order'!$C$2:$C$225,B378)</f>
        <v>CHANNEL MONTAGE</v>
      </c>
      <c r="D378" s="24" t="str">
        <f aca="false">INDEX('Running Order'!$D$2:$D$225,B378)</f>
        <v>Montage</v>
      </c>
      <c r="E378" s="5" t="n">
        <f aca="false">IF(INDEX('Running Order'!$B$2:$B$225,B378)="Y",INDEX('Running Order'!$E$2:$E$225,B378),0)</f>
        <v>0.000115740740740741</v>
      </c>
      <c r="F378" s="6" t="n">
        <f aca="false">(A378-1)*Summary!$B$5+INDEX('Running Order'!$F$2:$F$225,B378)</f>
        <v>46296.7288194444</v>
      </c>
      <c r="G378" s="6" t="n">
        <f aca="false">F378+E378</f>
        <v>46296.7289351852</v>
      </c>
      <c r="H378" s="24" t="str">
        <f aca="false">IF(INDEX('Running Order'!$B$2:$B$225,B378)="Y","on air","dropped")</f>
        <v>on air</v>
      </c>
      <c r="I378" s="24" t="str">
        <f aca="false">IF(F378&lt;Summary!$B$4+1,"yes","")</f>
        <v>yes</v>
      </c>
    </row>
    <row r="379" customFormat="false" ht="15" hidden="false" customHeight="false" outlineLevel="0" collapsed="false">
      <c r="A379" s="24" t="n">
        <f aca="false">INT((ROW()-2)/Summary!$B$8)+1</f>
        <v>2</v>
      </c>
      <c r="B379" s="24" t="n">
        <f aca="false">MOD(ROW()-2,Summary!$B$8)+1</f>
        <v>154</v>
      </c>
      <c r="C379" s="24" t="str">
        <f aca="false">INDEX('Running Order'!$C$2:$C$225,B379)</f>
        <v>OSETIGO EP1</v>
      </c>
      <c r="D379" s="24" t="str">
        <f aca="false">INDEX('Running Order'!$D$2:$D$225,B379)</f>
        <v>Programme</v>
      </c>
      <c r="E379" s="5" t="n">
        <f aca="false">IF(INDEX('Running Order'!$B$2:$B$225,B379)="Y",INDEX('Running Order'!$E$2:$E$225,B379),0)</f>
        <v>0.0192013888888889</v>
      </c>
      <c r="F379" s="6" t="n">
        <f aca="false">(A379-1)*Summary!$B$5+INDEX('Running Order'!$F$2:$F$225,B379)</f>
        <v>46296.7289351852</v>
      </c>
      <c r="G379" s="6" t="n">
        <f aca="false">F379+E379</f>
        <v>46296.7481365741</v>
      </c>
      <c r="H379" s="24" t="str">
        <f aca="false">IF(INDEX('Running Order'!$B$2:$B$225,B379)="Y","on air","dropped")</f>
        <v>on air</v>
      </c>
      <c r="I379" s="24" t="str">
        <f aca="false">IF(F379&lt;Summary!$B$4+1,"yes","")</f>
        <v>yes</v>
      </c>
    </row>
    <row r="380" customFormat="false" ht="15" hidden="false" customHeight="false" outlineLevel="0" collapsed="false">
      <c r="A380" s="24" t="n">
        <f aca="false">INT((ROW()-2)/Summary!$B$8)+1</f>
        <v>2</v>
      </c>
      <c r="B380" s="24" t="n">
        <f aca="false">MOD(ROW()-2,Summary!$B$8)+1</f>
        <v>155</v>
      </c>
      <c r="C380" s="24" t="str">
        <f aca="false">INDEX('Running Order'!$C$2:$C$225,B380)</f>
        <v>TATTASETV STING</v>
      </c>
      <c r="D380" s="24" t="str">
        <f aca="false">INDEX('Running Order'!$D$2:$D$225,B380)</f>
        <v>Sting</v>
      </c>
      <c r="E380" s="5" t="n">
        <f aca="false">IF(INDEX('Running Order'!$B$2:$B$225,B380)="Y",INDEX('Running Order'!$E$2:$E$225,B380),0)</f>
        <v>6.94444444444444E-005</v>
      </c>
      <c r="F380" s="6" t="n">
        <f aca="false">(A380-1)*Summary!$B$5+INDEX('Running Order'!$F$2:$F$225,B380)</f>
        <v>46296.7481365741</v>
      </c>
      <c r="G380" s="6" t="n">
        <f aca="false">F380+E380</f>
        <v>46296.7482060185</v>
      </c>
      <c r="H380" s="24" t="str">
        <f aca="false">IF(INDEX('Running Order'!$B$2:$B$225,B380)="Y","on air","dropped")</f>
        <v>on air</v>
      </c>
      <c r="I380" s="24" t="str">
        <f aca="false">IF(F380&lt;Summary!$B$4+1,"yes","")</f>
        <v>yes</v>
      </c>
    </row>
    <row r="381" customFormat="false" ht="15" hidden="false" customHeight="false" outlineLevel="0" collapsed="false">
      <c r="A381" s="24" t="n">
        <f aca="false">INT((ROW()-2)/Summary!$B$8)+1</f>
        <v>2</v>
      </c>
      <c r="B381" s="24" t="n">
        <f aca="false">MOD(ROW()-2,Summary!$B$8)+1</f>
        <v>156</v>
      </c>
      <c r="C381" s="24" t="str">
        <f aca="false">INDEX('Running Order'!$C$2:$C$225,B381)</f>
        <v>DJINEE AT HEMBADOON</v>
      </c>
      <c r="D381" s="24" t="str">
        <f aca="false">INDEX('Running Order'!$D$2:$D$225,B381)</f>
        <v>Programme</v>
      </c>
      <c r="E381" s="5" t="n">
        <f aca="false">IF(INDEX('Running Order'!$B$2:$B$225,B381)="Y",INDEX('Running Order'!$E$2:$E$225,B381),0)</f>
        <v>0.00260416666666667</v>
      </c>
      <c r="F381" s="6" t="n">
        <f aca="false">(A381-1)*Summary!$B$5+INDEX('Running Order'!$F$2:$F$225,B381)</f>
        <v>46296.7482060185</v>
      </c>
      <c r="G381" s="6" t="n">
        <f aca="false">F381+E381</f>
        <v>46296.7508101852</v>
      </c>
      <c r="H381" s="24" t="str">
        <f aca="false">IF(INDEX('Running Order'!$B$2:$B$225,B381)="Y","on air","dropped")</f>
        <v>on air</v>
      </c>
      <c r="I381" s="24" t="str">
        <f aca="false">IF(F381&lt;Summary!$B$4+1,"yes","")</f>
        <v>yes</v>
      </c>
    </row>
    <row r="382" customFormat="false" ht="15" hidden="false" customHeight="false" outlineLevel="0" collapsed="false">
      <c r="A382" s="24" t="n">
        <f aca="false">INT((ROW()-2)/Summary!$B$8)+1</f>
        <v>2</v>
      </c>
      <c r="B382" s="24" t="n">
        <f aca="false">MOD(ROW()-2,Summary!$B$8)+1</f>
        <v>157</v>
      </c>
      <c r="C382" s="24" t="str">
        <f aca="false">INDEX('Running Order'!$C$2:$C$225,B382)</f>
        <v>CULTURATI HIGHLIGHT UPDATE</v>
      </c>
      <c r="D382" s="24" t="str">
        <f aca="false">INDEX('Running Order'!$D$2:$D$225,B382)</f>
        <v>Short</v>
      </c>
      <c r="E382" s="5" t="n">
        <f aca="false">IF(INDEX('Running Order'!$B$2:$B$225,B382)="Y",INDEX('Running Order'!$E$2:$E$225,B382),0)</f>
        <v>0.0019212962962963</v>
      </c>
      <c r="F382" s="6" t="n">
        <f aca="false">(A382-1)*Summary!$B$5+INDEX('Running Order'!$F$2:$F$225,B382)</f>
        <v>46296.7508101852</v>
      </c>
      <c r="G382" s="6" t="n">
        <f aca="false">F382+E382</f>
        <v>46296.7527314815</v>
      </c>
      <c r="H382" s="24" t="str">
        <f aca="false">IF(INDEX('Running Order'!$B$2:$B$225,B382)="Y","on air","dropped")</f>
        <v>on air</v>
      </c>
      <c r="I382" s="24" t="str">
        <f aca="false">IF(F382&lt;Summary!$B$4+1,"yes","")</f>
        <v>yes</v>
      </c>
    </row>
    <row r="383" customFormat="false" ht="15" hidden="false" customHeight="false" outlineLevel="0" collapsed="false">
      <c r="A383" s="24" t="n">
        <f aca="false">INT((ROW()-2)/Summary!$B$8)+1</f>
        <v>2</v>
      </c>
      <c r="B383" s="24" t="n">
        <f aca="false">MOD(ROW()-2,Summary!$B$8)+1</f>
        <v>158</v>
      </c>
      <c r="C383" s="24" t="str">
        <f aca="false">INDEX('Running Order'!$C$2:$C$225,B383)</f>
        <v>PLANTAIN PEOPLE'S PARTY</v>
      </c>
      <c r="D383" s="24" t="str">
        <f aca="false">INDEX('Running Order'!$D$2:$D$225,B383)</f>
        <v>Programme</v>
      </c>
      <c r="E383" s="5" t="n">
        <f aca="false">IF(INDEX('Running Order'!$B$2:$B$225,B383)="Y",INDEX('Running Order'!$E$2:$E$225,B383),0)</f>
        <v>0.00590277777777778</v>
      </c>
      <c r="F383" s="6" t="n">
        <f aca="false">(A383-1)*Summary!$B$5+INDEX('Running Order'!$F$2:$F$225,B383)</f>
        <v>46296.7527314815</v>
      </c>
      <c r="G383" s="6" t="n">
        <f aca="false">F383+E383</f>
        <v>46296.7586342593</v>
      </c>
      <c r="H383" s="24" t="str">
        <f aca="false">IF(INDEX('Running Order'!$B$2:$B$225,B383)="Y","on air","dropped")</f>
        <v>on air</v>
      </c>
      <c r="I383" s="24" t="str">
        <f aca="false">IF(F383&lt;Summary!$B$4+1,"yes","")</f>
        <v>yes</v>
      </c>
    </row>
    <row r="384" customFormat="false" ht="15" hidden="false" customHeight="false" outlineLevel="0" collapsed="false">
      <c r="A384" s="24" t="n">
        <f aca="false">INT((ROW()-2)/Summary!$B$8)+1</f>
        <v>2</v>
      </c>
      <c r="B384" s="24" t="n">
        <f aca="false">MOD(ROW()-2,Summary!$B$8)+1</f>
        <v>159</v>
      </c>
      <c r="C384" s="24" t="str">
        <f aca="false">INDEX('Running Order'!$C$2:$C$225,B384)</f>
        <v>TATTASE STING</v>
      </c>
      <c r="D384" s="24" t="str">
        <f aca="false">INDEX('Running Order'!$D$2:$D$225,B384)</f>
        <v>Sting</v>
      </c>
      <c r="E384" s="5" t="n">
        <f aca="false">IF(INDEX('Running Order'!$B$2:$B$225,B384)="Y",INDEX('Running Order'!$E$2:$E$225,B384),0)</f>
        <v>6.94444444444444E-005</v>
      </c>
      <c r="F384" s="6" t="n">
        <f aca="false">(A384-1)*Summary!$B$5+INDEX('Running Order'!$F$2:$F$225,B384)</f>
        <v>46296.7586342593</v>
      </c>
      <c r="G384" s="6" t="n">
        <f aca="false">F384+E384</f>
        <v>46296.7587037037</v>
      </c>
      <c r="H384" s="24" t="str">
        <f aca="false">IF(INDEX('Running Order'!$B$2:$B$225,B384)="Y","on air","dropped")</f>
        <v>on air</v>
      </c>
      <c r="I384" s="24" t="str">
        <f aca="false">IF(F384&lt;Summary!$B$4+1,"yes","")</f>
        <v>yes</v>
      </c>
    </row>
    <row r="385" customFormat="false" ht="15" hidden="false" customHeight="false" outlineLevel="0" collapsed="false">
      <c r="A385" s="24" t="n">
        <f aca="false">INT((ROW()-2)/Summary!$B$8)+1</f>
        <v>2</v>
      </c>
      <c r="B385" s="24" t="n">
        <f aca="false">MOD(ROW()-2,Summary!$B$8)+1</f>
        <v>160</v>
      </c>
      <c r="C385" s="24" t="str">
        <f aca="false">INDEX('Running Order'!$C$2:$C$225,B385)</f>
        <v>SAUSAGE THREADED SPAGHETTI (LONGER VERSION)</v>
      </c>
      <c r="D385" s="24" t="str">
        <f aca="false">INDEX('Running Order'!$D$2:$D$225,B385)</f>
        <v>Programme</v>
      </c>
      <c r="E385" s="5" t="n">
        <f aca="false">IF(INDEX('Running Order'!$B$2:$B$225,B385)="Y",INDEX('Running Order'!$E$2:$E$225,B385),0)</f>
        <v>0.00216435185185185</v>
      </c>
      <c r="F385" s="6" t="n">
        <f aca="false">(A385-1)*Summary!$B$5+INDEX('Running Order'!$F$2:$F$225,B385)</f>
        <v>46296.7587037037</v>
      </c>
      <c r="G385" s="6" t="n">
        <f aca="false">F385+E385</f>
        <v>46296.7608680556</v>
      </c>
      <c r="H385" s="24" t="str">
        <f aca="false">IF(INDEX('Running Order'!$B$2:$B$225,B385)="Y","on air","dropped")</f>
        <v>on air</v>
      </c>
      <c r="I385" s="24" t="str">
        <f aca="false">IF(F385&lt;Summary!$B$4+1,"yes","")</f>
        <v>yes</v>
      </c>
    </row>
    <row r="386" customFormat="false" ht="15" hidden="false" customHeight="false" outlineLevel="0" collapsed="false">
      <c r="A386" s="24" t="n">
        <f aca="false">INT((ROW()-2)/Summary!$B$8)+1</f>
        <v>2</v>
      </c>
      <c r="B386" s="24" t="n">
        <f aca="false">MOD(ROW()-2,Summary!$B$8)+1</f>
        <v>161</v>
      </c>
      <c r="C386" s="24" t="str">
        <f aca="false">INDEX('Running Order'!$C$2:$C$225,B386)</f>
        <v>TATTASE TV STING</v>
      </c>
      <c r="D386" s="24" t="str">
        <f aca="false">INDEX('Running Order'!$D$2:$D$225,B386)</f>
        <v>Sting</v>
      </c>
      <c r="E386" s="5" t="n">
        <f aca="false">IF(INDEX('Running Order'!$B$2:$B$225,B386)="Y",INDEX('Running Order'!$E$2:$E$225,B386),0)</f>
        <v>6.94444444444444E-005</v>
      </c>
      <c r="F386" s="6" t="n">
        <f aca="false">(A386-1)*Summary!$B$5+INDEX('Running Order'!$F$2:$F$225,B386)</f>
        <v>46296.7608680556</v>
      </c>
      <c r="G386" s="6" t="n">
        <f aca="false">F386+E386</f>
        <v>46296.7609375</v>
      </c>
      <c r="H386" s="24" t="str">
        <f aca="false">IF(INDEX('Running Order'!$B$2:$B$225,B386)="Y","on air","dropped")</f>
        <v>on air</v>
      </c>
      <c r="I386" s="24" t="str">
        <f aca="false">IF(F386&lt;Summary!$B$4+1,"yes","")</f>
        <v>yes</v>
      </c>
    </row>
    <row r="387" customFormat="false" ht="15" hidden="false" customHeight="false" outlineLevel="0" collapsed="false">
      <c r="A387" s="24" t="n">
        <f aca="false">INT((ROW()-2)/Summary!$B$8)+1</f>
        <v>2</v>
      </c>
      <c r="B387" s="24" t="n">
        <f aca="false">MOD(ROW()-2,Summary!$B$8)+1</f>
        <v>162</v>
      </c>
      <c r="C387" s="24" t="str">
        <f aca="false">INDEX('Running Order'!$C$2:$C$225,B387)</f>
        <v>CHANNEL MONTAGE</v>
      </c>
      <c r="D387" s="24" t="str">
        <f aca="false">INDEX('Running Order'!$D$2:$D$225,B387)</f>
        <v>Montage</v>
      </c>
      <c r="E387" s="5" t="n">
        <f aca="false">IF(INDEX('Running Order'!$B$2:$B$225,B387)="Y",INDEX('Running Order'!$E$2:$E$225,B387),0)</f>
        <v>0.000115740740740741</v>
      </c>
      <c r="F387" s="6" t="n">
        <f aca="false">(A387-1)*Summary!$B$5+INDEX('Running Order'!$F$2:$F$225,B387)</f>
        <v>46296.7609375</v>
      </c>
      <c r="G387" s="6" t="n">
        <f aca="false">F387+E387</f>
        <v>46296.7610532407</v>
      </c>
      <c r="H387" s="24" t="str">
        <f aca="false">IF(INDEX('Running Order'!$B$2:$B$225,B387)="Y","on air","dropped")</f>
        <v>on air</v>
      </c>
      <c r="I387" s="24" t="str">
        <f aca="false">IF(F387&lt;Summary!$B$4+1,"yes","")</f>
        <v>yes</v>
      </c>
    </row>
    <row r="388" customFormat="false" ht="15" hidden="false" customHeight="false" outlineLevel="0" collapsed="false">
      <c r="A388" s="24" t="n">
        <f aca="false">INT((ROW()-2)/Summary!$B$8)+1</f>
        <v>2</v>
      </c>
      <c r="B388" s="24" t="n">
        <f aca="false">MOD(ROW()-2,Summary!$B$8)+1</f>
        <v>163</v>
      </c>
      <c r="C388" s="24" t="str">
        <f aca="false">INDEX('Running Order'!$C$2:$C$225,B388)</f>
        <v>SPICES OF LOVE Season1 Episode1 Welcome to the Neighbourhood</v>
      </c>
      <c r="D388" s="24" t="str">
        <f aca="false">INDEX('Running Order'!$D$2:$D$225,B388)</f>
        <v>Programme</v>
      </c>
      <c r="E388" s="5" t="n">
        <f aca="false">IF(INDEX('Running Order'!$B$2:$B$225,B388)="Y",INDEX('Running Order'!$E$2:$E$225,B388),0)</f>
        <v>0.004375</v>
      </c>
      <c r="F388" s="6" t="n">
        <f aca="false">(A388-1)*Summary!$B$5+INDEX('Running Order'!$F$2:$F$225,B388)</f>
        <v>46296.7610532407</v>
      </c>
      <c r="G388" s="6" t="n">
        <f aca="false">F388+E388</f>
        <v>46296.7654282407</v>
      </c>
      <c r="H388" s="24" t="str">
        <f aca="false">IF(INDEX('Running Order'!$B$2:$B$225,B388)="Y","on air","dropped")</f>
        <v>on air</v>
      </c>
      <c r="I388" s="24" t="str">
        <f aca="false">IF(F388&lt;Summary!$B$4+1,"yes","")</f>
        <v>yes</v>
      </c>
    </row>
    <row r="389" customFormat="false" ht="15" hidden="false" customHeight="false" outlineLevel="0" collapsed="false">
      <c r="A389" s="24" t="n">
        <f aca="false">INT((ROW()-2)/Summary!$B$8)+1</f>
        <v>2</v>
      </c>
      <c r="B389" s="24" t="n">
        <f aca="false">MOD(ROW()-2,Summary!$B$8)+1</f>
        <v>164</v>
      </c>
      <c r="C389" s="24" t="str">
        <f aca="false">INDEX('Running Order'!$C$2:$C$225,B389)</f>
        <v>TATTASE TV STING</v>
      </c>
      <c r="D389" s="24" t="str">
        <f aca="false">INDEX('Running Order'!$D$2:$D$225,B389)</f>
        <v>Sting</v>
      </c>
      <c r="E389" s="5" t="n">
        <f aca="false">IF(INDEX('Running Order'!$B$2:$B$225,B389)="Y",INDEX('Running Order'!$E$2:$E$225,B389),0)</f>
        <v>6.94444444444444E-005</v>
      </c>
      <c r="F389" s="6" t="n">
        <f aca="false">(A389-1)*Summary!$B$5+INDEX('Running Order'!$F$2:$F$225,B389)</f>
        <v>46296.7654282407</v>
      </c>
      <c r="G389" s="6" t="n">
        <f aca="false">F389+E389</f>
        <v>46296.7654976852</v>
      </c>
      <c r="H389" s="24" t="str">
        <f aca="false">IF(INDEX('Running Order'!$B$2:$B$225,B389)="Y","on air","dropped")</f>
        <v>on air</v>
      </c>
      <c r="I389" s="24" t="str">
        <f aca="false">IF(F389&lt;Summary!$B$4+1,"yes","")</f>
        <v>yes</v>
      </c>
    </row>
    <row r="390" customFormat="false" ht="15" hidden="false" customHeight="false" outlineLevel="0" collapsed="false">
      <c r="A390" s="24" t="n">
        <f aca="false">INT((ROW()-2)/Summary!$B$8)+1</f>
        <v>2</v>
      </c>
      <c r="B390" s="24" t="n">
        <f aca="false">MOD(ROW()-2,Summary!$B$8)+1</f>
        <v>165</v>
      </c>
      <c r="C390" s="24" t="str">
        <f aca="false">INDEX('Running Order'!$C$2:$C$225,B390)</f>
        <v>Visit Lagos Fresh Food HubidiOro Mushin</v>
      </c>
      <c r="D390" s="24" t="str">
        <f aca="false">INDEX('Running Order'!$D$2:$D$225,B390)</f>
        <v>Short</v>
      </c>
      <c r="E390" s="5" t="n">
        <f aca="false">IF(INDEX('Running Order'!$B$2:$B$225,B390)="Y",INDEX('Running Order'!$E$2:$E$225,B390),0)</f>
        <v>0.000763888888888889</v>
      </c>
      <c r="F390" s="6" t="n">
        <f aca="false">(A390-1)*Summary!$B$5+INDEX('Running Order'!$F$2:$F$225,B390)</f>
        <v>46296.7654976852</v>
      </c>
      <c r="G390" s="6" t="n">
        <f aca="false">F390+E390</f>
        <v>46296.7662615741</v>
      </c>
      <c r="H390" s="24" t="str">
        <f aca="false">IF(INDEX('Running Order'!$B$2:$B$225,B390)="Y","on air","dropped")</f>
        <v>on air</v>
      </c>
      <c r="I390" s="24" t="str">
        <f aca="false">IF(F390&lt;Summary!$B$4+1,"yes","")</f>
        <v>yes</v>
      </c>
    </row>
    <row r="391" customFormat="false" ht="15" hidden="false" customHeight="false" outlineLevel="0" collapsed="false">
      <c r="A391" s="24" t="n">
        <f aca="false">INT((ROW()-2)/Summary!$B$8)+1</f>
        <v>2</v>
      </c>
      <c r="B391" s="24" t="n">
        <f aca="false">MOD(ROW()-2,Summary!$B$8)+1</f>
        <v>166</v>
      </c>
      <c r="C391" s="24" t="str">
        <f aca="false">INDEX('Running Order'!$C$2:$C$225,B391)</f>
        <v>UNILORIN LET'S JOLLOF</v>
      </c>
      <c r="D391" s="24" t="str">
        <f aca="false">INDEX('Running Order'!$D$2:$D$225,B391)</f>
        <v>Short</v>
      </c>
      <c r="E391" s="5" t="n">
        <f aca="false">IF(INDEX('Running Order'!$B$2:$B$225,B391)="Y",INDEX('Running Order'!$E$2:$E$225,B391),0)</f>
        <v>0.000636574074074074</v>
      </c>
      <c r="F391" s="6" t="n">
        <f aca="false">(A391-1)*Summary!$B$5+INDEX('Running Order'!$F$2:$F$225,B391)</f>
        <v>46296.7662615741</v>
      </c>
      <c r="G391" s="6" t="n">
        <f aca="false">F391+E391</f>
        <v>46296.7668981482</v>
      </c>
      <c r="H391" s="24" t="str">
        <f aca="false">IF(INDEX('Running Order'!$B$2:$B$225,B391)="Y","on air","dropped")</f>
        <v>on air</v>
      </c>
      <c r="I391" s="24" t="str">
        <f aca="false">IF(F391&lt;Summary!$B$4+1,"yes","")</f>
        <v>yes</v>
      </c>
    </row>
    <row r="392" customFormat="false" ht="15" hidden="false" customHeight="false" outlineLevel="0" collapsed="false">
      <c r="A392" s="24" t="n">
        <f aca="false">INT((ROW()-2)/Summary!$B$8)+1</f>
        <v>2</v>
      </c>
      <c r="B392" s="24" t="n">
        <f aca="false">MOD(ROW()-2,Summary!$B$8)+1</f>
        <v>167</v>
      </c>
      <c r="C392" s="24" t="str">
        <f aca="false">INDEX('Running Order'!$C$2:$C$225,B392)</f>
        <v>KNORR PURPOSE TV MOV NEW</v>
      </c>
      <c r="D392" s="24" t="str">
        <f aca="false">INDEX('Running Order'!$D$2:$D$225,B392)</f>
        <v>Commercial</v>
      </c>
      <c r="E392" s="5" t="n">
        <f aca="false">IF(INDEX('Running Order'!$B$2:$B$225,B392)="Y",INDEX('Running Order'!$E$2:$E$225,B392),0)</f>
        <v>0.000347222222222222</v>
      </c>
      <c r="F392" s="6" t="n">
        <f aca="false">(A392-1)*Summary!$B$5+INDEX('Running Order'!$F$2:$F$225,B392)</f>
        <v>46296.7668981482</v>
      </c>
      <c r="G392" s="6" t="n">
        <f aca="false">F392+E392</f>
        <v>46296.7672453704</v>
      </c>
      <c r="H392" s="24" t="str">
        <f aca="false">IF(INDEX('Running Order'!$B$2:$B$225,B392)="Y","on air","dropped")</f>
        <v>on air</v>
      </c>
      <c r="I392" s="24" t="str">
        <f aca="false">IF(F392&lt;Summary!$B$4+1,"yes","")</f>
        <v>yes</v>
      </c>
    </row>
    <row r="393" customFormat="false" ht="15" hidden="false" customHeight="false" outlineLevel="0" collapsed="false">
      <c r="A393" s="24" t="n">
        <f aca="false">INT((ROW()-2)/Summary!$B$8)+1</f>
        <v>2</v>
      </c>
      <c r="B393" s="24" t="n">
        <f aca="false">MOD(ROW()-2,Summary!$B$8)+1</f>
        <v>168</v>
      </c>
      <c r="C393" s="24" t="str">
        <f aca="false">INDEX('Running Order'!$C$2:$C$225,B393)</f>
        <v>AFTER DARK COMING SOON REAL</v>
      </c>
      <c r="D393" s="24" t="str">
        <f aca="false">INDEX('Running Order'!$D$2:$D$225,B393)</f>
        <v>Promo</v>
      </c>
      <c r="E393" s="5" t="n">
        <f aca="false">IF(INDEX('Running Order'!$B$2:$B$225,B393)="Y",INDEX('Running Order'!$E$2:$E$225,B393),0)</f>
        <v>0.00068287037037037</v>
      </c>
      <c r="F393" s="6" t="n">
        <f aca="false">(A393-1)*Summary!$B$5+INDEX('Running Order'!$F$2:$F$225,B393)</f>
        <v>46296.7672453704</v>
      </c>
      <c r="G393" s="6" t="n">
        <f aca="false">F393+E393</f>
        <v>46296.7679282407</v>
      </c>
      <c r="H393" s="24" t="str">
        <f aca="false">IF(INDEX('Running Order'!$B$2:$B$225,B393)="Y","on air","dropped")</f>
        <v>on air</v>
      </c>
      <c r="I393" s="24" t="str">
        <f aca="false">IF(F393&lt;Summary!$B$4+1,"yes","")</f>
        <v>yes</v>
      </c>
    </row>
    <row r="394" customFormat="false" ht="15" hidden="false" customHeight="false" outlineLevel="0" collapsed="false">
      <c r="A394" s="24" t="n">
        <f aca="false">INT((ROW()-2)/Summary!$B$8)+1</f>
        <v>2</v>
      </c>
      <c r="B394" s="24" t="n">
        <f aca="false">MOD(ROW()-2,Summary!$B$8)+1</f>
        <v>169</v>
      </c>
      <c r="C394" s="24" t="str">
        <f aca="false">INDEX('Running Order'!$C$2:$C$225,B394)</f>
        <v>CHANNEL MONTAGE</v>
      </c>
      <c r="D394" s="24" t="str">
        <f aca="false">INDEX('Running Order'!$D$2:$D$225,B394)</f>
        <v>Montage</v>
      </c>
      <c r="E394" s="5" t="n">
        <f aca="false">IF(INDEX('Running Order'!$B$2:$B$225,B394)="Y",INDEX('Running Order'!$E$2:$E$225,B394),0)</f>
        <v>0.000115740740740741</v>
      </c>
      <c r="F394" s="6" t="n">
        <f aca="false">(A394-1)*Summary!$B$5+INDEX('Running Order'!$F$2:$F$225,B394)</f>
        <v>46296.7679282407</v>
      </c>
      <c r="G394" s="6" t="n">
        <f aca="false">F394+E394</f>
        <v>46296.7680439815</v>
      </c>
      <c r="H394" s="24" t="str">
        <f aca="false">IF(INDEX('Running Order'!$B$2:$B$225,B394)="Y","on air","dropped")</f>
        <v>on air</v>
      </c>
      <c r="I394" s="24" t="str">
        <f aca="false">IF(F394&lt;Summary!$B$4+1,"yes","")</f>
        <v>yes</v>
      </c>
    </row>
    <row r="395" customFormat="false" ht="15" hidden="false" customHeight="false" outlineLevel="0" collapsed="false">
      <c r="A395" s="24" t="n">
        <f aca="false">INT((ROW()-2)/Summary!$B$8)+1</f>
        <v>2</v>
      </c>
      <c r="B395" s="24" t="n">
        <f aca="false">MOD(ROW()-2,Summary!$B$8)+1</f>
        <v>170</v>
      </c>
      <c r="C395" s="24" t="str">
        <f aca="false">INDEX('Running Order'!$C$2:$C$225,B395)</f>
        <v>Fried Rice with Oven Roasted Fish and Moimoi AJINOMOTO 247 Episode11</v>
      </c>
      <c r="D395" s="24" t="str">
        <f aca="false">INDEX('Running Order'!$D$2:$D$225,B395)</f>
        <v>Programme</v>
      </c>
      <c r="E395" s="5" t="n">
        <f aca="false">IF(INDEX('Running Order'!$B$2:$B$225,B395)="Y",INDEX('Running Order'!$E$2:$E$225,B395),0)</f>
        <v>0.0043287037037037</v>
      </c>
      <c r="F395" s="6" t="n">
        <f aca="false">(A395-1)*Summary!$B$5+INDEX('Running Order'!$F$2:$F$225,B395)</f>
        <v>46296.7680439815</v>
      </c>
      <c r="G395" s="6" t="n">
        <f aca="false">F395+E395</f>
        <v>46296.7723726852</v>
      </c>
      <c r="H395" s="24" t="str">
        <f aca="false">IF(INDEX('Running Order'!$B$2:$B$225,B395)="Y","on air","dropped")</f>
        <v>on air</v>
      </c>
      <c r="I395" s="24" t="str">
        <f aca="false">IF(F395&lt;Summary!$B$4+1,"yes","")</f>
        <v>yes</v>
      </c>
    </row>
    <row r="396" customFormat="false" ht="15" hidden="false" customHeight="false" outlineLevel="0" collapsed="false">
      <c r="A396" s="24" t="n">
        <f aca="false">INT((ROW()-2)/Summary!$B$8)+1</f>
        <v>2</v>
      </c>
      <c r="B396" s="24" t="n">
        <f aca="false">MOD(ROW()-2,Summary!$B$8)+1</f>
        <v>171</v>
      </c>
      <c r="C396" s="24" t="str">
        <f aca="false">INDEX('Running Order'!$C$2:$C$225,B396)</f>
        <v>TECNO FOOD WITH TIWA SAVAGE real</v>
      </c>
      <c r="D396" s="24" t="str">
        <f aca="false">INDEX('Running Order'!$D$2:$D$225,B396)</f>
        <v>Commercial</v>
      </c>
      <c r="E396" s="5" t="n">
        <f aca="false">IF(INDEX('Running Order'!$B$2:$B$225,B396)="Y",INDEX('Running Order'!$E$2:$E$225,B396),0)</f>
        <v>0.000335648148148148</v>
      </c>
      <c r="F396" s="6" t="n">
        <f aca="false">(A396-1)*Summary!$B$5+INDEX('Running Order'!$F$2:$F$225,B396)</f>
        <v>46296.7723726852</v>
      </c>
      <c r="G396" s="6" t="n">
        <f aca="false">F396+E396</f>
        <v>46296.7727083333</v>
      </c>
      <c r="H396" s="24" t="str">
        <f aca="false">IF(INDEX('Running Order'!$B$2:$B$225,B396)="Y","on air","dropped")</f>
        <v>on air</v>
      </c>
      <c r="I396" s="24" t="str">
        <f aca="false">IF(F396&lt;Summary!$B$4+1,"yes","")</f>
        <v>yes</v>
      </c>
    </row>
    <row r="397" customFormat="false" ht="15" hidden="false" customHeight="false" outlineLevel="0" collapsed="false">
      <c r="A397" s="24" t="n">
        <f aca="false">INT((ROW()-2)/Summary!$B$8)+1</f>
        <v>2</v>
      </c>
      <c r="B397" s="24" t="n">
        <f aca="false">MOD(ROW()-2,Summary!$B$8)+1</f>
        <v>172</v>
      </c>
      <c r="C397" s="24" t="str">
        <f aca="false">INDEX('Running Order'!$C$2:$C$225,B397)</f>
        <v>Sonia Tomato Mix</v>
      </c>
      <c r="D397" s="24" t="str">
        <f aca="false">INDEX('Running Order'!$D$2:$D$225,B397)</f>
        <v>Commercial</v>
      </c>
      <c r="E397" s="5" t="n">
        <f aca="false">IF(INDEX('Running Order'!$B$2:$B$225,B397)="Y",INDEX('Running Order'!$E$2:$E$225,B397),0)</f>
        <v>0.000115740740740741</v>
      </c>
      <c r="F397" s="6" t="n">
        <f aca="false">(A397-1)*Summary!$B$5+INDEX('Running Order'!$F$2:$F$225,B397)</f>
        <v>46296.7727083333</v>
      </c>
      <c r="G397" s="6" t="n">
        <f aca="false">F397+E397</f>
        <v>46296.7728240741</v>
      </c>
      <c r="H397" s="24" t="str">
        <f aca="false">IF(INDEX('Running Order'!$B$2:$B$225,B397)="Y","on air","dropped")</f>
        <v>on air</v>
      </c>
      <c r="I397" s="24" t="str">
        <f aca="false">IF(F397&lt;Summary!$B$4+1,"yes","")</f>
        <v>yes</v>
      </c>
    </row>
    <row r="398" customFormat="false" ht="15" hidden="false" customHeight="false" outlineLevel="0" collapsed="false">
      <c r="A398" s="24" t="n">
        <f aca="false">INT((ROW()-2)/Summary!$B$8)+1</f>
        <v>2</v>
      </c>
      <c r="B398" s="24" t="n">
        <f aca="false">MOD(ROW()-2,Summary!$B$8)+1</f>
        <v>173</v>
      </c>
      <c r="C398" s="24" t="str">
        <f aca="false">INDEX('Running Order'!$C$2:$C$225,B398)</f>
        <v>CHANNEL MONTAGE</v>
      </c>
      <c r="D398" s="24" t="str">
        <f aca="false">INDEX('Running Order'!$D$2:$D$225,B398)</f>
        <v>Montage</v>
      </c>
      <c r="E398" s="5" t="n">
        <f aca="false">IF(INDEX('Running Order'!$B$2:$B$225,B398)="Y",INDEX('Running Order'!$E$2:$E$225,B398),0)</f>
        <v>0.000115740740740741</v>
      </c>
      <c r="F398" s="6" t="n">
        <f aca="false">(A398-1)*Summary!$B$5+INDEX('Running Order'!$F$2:$F$225,B398)</f>
        <v>46296.7728240741</v>
      </c>
      <c r="G398" s="6" t="n">
        <f aca="false">F398+E398</f>
        <v>46296.7729398148</v>
      </c>
      <c r="H398" s="24" t="str">
        <f aca="false">IF(INDEX('Running Order'!$B$2:$B$225,B398)="Y","on air","dropped")</f>
        <v>on air</v>
      </c>
      <c r="I398" s="24" t="str">
        <f aca="false">IF(F398&lt;Summary!$B$4+1,"yes","")</f>
        <v>yes</v>
      </c>
    </row>
    <row r="399" customFormat="false" ht="15" hidden="false" customHeight="false" outlineLevel="0" collapsed="false">
      <c r="A399" s="24" t="n">
        <f aca="false">INT((ROW()-2)/Summary!$B$8)+1</f>
        <v>2</v>
      </c>
      <c r="B399" s="24" t="n">
        <f aca="false">MOD(ROW()-2,Summary!$B$8)+1</f>
        <v>174</v>
      </c>
      <c r="C399" s="24" t="str">
        <f aca="false">INDEX('Running Order'!$C$2:$C$225,B399)</f>
        <v>CALABAR FOOD with UYAI (NO BRAND) PROMO</v>
      </c>
      <c r="D399" s="24" t="str">
        <f aca="false">INDEX('Running Order'!$D$2:$D$225,B399)</f>
        <v>Promo</v>
      </c>
      <c r="E399" s="5" t="n">
        <f aca="false">IF(INDEX('Running Order'!$B$2:$B$225,B399)="Y",INDEX('Running Order'!$E$2:$E$225,B399),0)</f>
        <v>0.00186342592592593</v>
      </c>
      <c r="F399" s="6" t="n">
        <f aca="false">(A399-1)*Summary!$B$5+INDEX('Running Order'!$F$2:$F$225,B399)</f>
        <v>46296.7729398148</v>
      </c>
      <c r="G399" s="6" t="n">
        <f aca="false">F399+E399</f>
        <v>46296.7748032407</v>
      </c>
      <c r="H399" s="24" t="str">
        <f aca="false">IF(INDEX('Running Order'!$B$2:$B$225,B399)="Y","on air","dropped")</f>
        <v>on air</v>
      </c>
      <c r="I399" s="24" t="str">
        <f aca="false">IF(F399&lt;Summary!$B$4+1,"yes","")</f>
        <v>yes</v>
      </c>
    </row>
    <row r="400" customFormat="false" ht="15" hidden="false" customHeight="false" outlineLevel="0" collapsed="false">
      <c r="A400" s="24" t="n">
        <f aca="false">INT((ROW()-2)/Summary!$B$8)+1</f>
        <v>2</v>
      </c>
      <c r="B400" s="24" t="n">
        <f aca="false">MOD(ROW()-2,Summary!$B$8)+1</f>
        <v>175</v>
      </c>
      <c r="C400" s="24" t="str">
        <f aca="false">INDEX('Running Order'!$C$2:$C$225,B400)</f>
        <v>DRONE 9JA PLASTPRINTPACK</v>
      </c>
      <c r="D400" s="24" t="str">
        <f aca="false">INDEX('Running Order'!$D$2:$D$225,B400)</f>
        <v>Programme</v>
      </c>
      <c r="E400" s="5" t="n">
        <f aca="false">IF(INDEX('Running Order'!$B$2:$B$225,B400)="Y",INDEX('Running Order'!$E$2:$E$225,B400),0)</f>
        <v>0.00462962962962963</v>
      </c>
      <c r="F400" s="6" t="n">
        <f aca="false">(A400-1)*Summary!$B$5+INDEX('Running Order'!$F$2:$F$225,B400)</f>
        <v>46296.7748032407</v>
      </c>
      <c r="G400" s="6" t="n">
        <f aca="false">F400+E400</f>
        <v>46296.7794328704</v>
      </c>
      <c r="H400" s="24" t="str">
        <f aca="false">IF(INDEX('Running Order'!$B$2:$B$225,B400)="Y","on air","dropped")</f>
        <v>on air</v>
      </c>
      <c r="I400" s="24" t="str">
        <f aca="false">IF(F400&lt;Summary!$B$4+1,"yes","")</f>
        <v>yes</v>
      </c>
    </row>
    <row r="401" customFormat="false" ht="15" hidden="false" customHeight="false" outlineLevel="0" collapsed="false">
      <c r="A401" s="24" t="n">
        <f aca="false">INT((ROW()-2)/Summary!$B$8)+1</f>
        <v>2</v>
      </c>
      <c r="B401" s="24" t="n">
        <f aca="false">MOD(ROW()-2,Summary!$B$8)+1</f>
        <v>176</v>
      </c>
      <c r="C401" s="24" t="str">
        <f aca="false">INDEX('Running Order'!$C$2:$C$225,B401)</f>
        <v>FAYROUZ</v>
      </c>
      <c r="D401" s="24" t="str">
        <f aca="false">INDEX('Running Order'!$D$2:$D$225,B401)</f>
        <v>Commercial</v>
      </c>
      <c r="E401" s="5" t="n">
        <f aca="false">IF(INDEX('Running Order'!$B$2:$B$225,B401)="Y",INDEX('Running Order'!$E$2:$E$225,B401),0)</f>
        <v>0.000694444444444445</v>
      </c>
      <c r="F401" s="6" t="n">
        <f aca="false">(A401-1)*Summary!$B$5+INDEX('Running Order'!$F$2:$F$225,B401)</f>
        <v>46296.7794328704</v>
      </c>
      <c r="G401" s="6" t="n">
        <f aca="false">F401+E401</f>
        <v>46296.7801273148</v>
      </c>
      <c r="H401" s="24" t="str">
        <f aca="false">IF(INDEX('Running Order'!$B$2:$B$225,B401)="Y","on air","dropped")</f>
        <v>on air</v>
      </c>
      <c r="I401" s="24" t="str">
        <f aca="false">IF(F401&lt;Summary!$B$4+1,"yes","")</f>
        <v>yes</v>
      </c>
    </row>
    <row r="402" customFormat="false" ht="15" hidden="false" customHeight="false" outlineLevel="0" collapsed="false">
      <c r="A402" s="24" t="n">
        <f aca="false">INT((ROW()-2)/Summary!$B$8)+1</f>
        <v>2</v>
      </c>
      <c r="B402" s="24" t="n">
        <f aca="false">MOD(ROW()-2,Summary!$B$8)+1</f>
        <v>177</v>
      </c>
      <c r="C402" s="24" t="str">
        <f aca="false">INDEX('Running Order'!$C$2:$C$225,B402)</f>
        <v>CHANNEL MONTAGE</v>
      </c>
      <c r="D402" s="24" t="str">
        <f aca="false">INDEX('Running Order'!$D$2:$D$225,B402)</f>
        <v>Montage</v>
      </c>
      <c r="E402" s="5" t="n">
        <f aca="false">IF(INDEX('Running Order'!$B$2:$B$225,B402)="Y",INDEX('Running Order'!$E$2:$E$225,B402),0)</f>
        <v>0.000115740740740741</v>
      </c>
      <c r="F402" s="6" t="n">
        <f aca="false">(A402-1)*Summary!$B$5+INDEX('Running Order'!$F$2:$F$225,B402)</f>
        <v>46296.7801273148</v>
      </c>
      <c r="G402" s="6" t="n">
        <f aca="false">F402+E402</f>
        <v>46296.7802430556</v>
      </c>
      <c r="H402" s="24" t="str">
        <f aca="false">IF(INDEX('Running Order'!$B$2:$B$225,B402)="Y","on air","dropped")</f>
        <v>on air</v>
      </c>
      <c r="I402" s="24" t="str">
        <f aca="false">IF(F402&lt;Summary!$B$4+1,"yes","")</f>
        <v>yes</v>
      </c>
    </row>
    <row r="403" customFormat="false" ht="15" hidden="false" customHeight="false" outlineLevel="0" collapsed="false">
      <c r="A403" s="24" t="n">
        <f aca="false">INT((ROW()-2)/Summary!$B$8)+1</f>
        <v>2</v>
      </c>
      <c r="B403" s="24" t="n">
        <f aca="false">MOD(ROW()-2,Summary!$B$8)+1</f>
        <v>178</v>
      </c>
      <c r="C403" s="24" t="str">
        <f aca="false">INDEX('Running Order'!$C$2:$C$225,B403)</f>
        <v>Maggi Diaries Season 3 Episode 2</v>
      </c>
      <c r="D403" s="24" t="str">
        <f aca="false">INDEX('Running Order'!$D$2:$D$225,B403)</f>
        <v>Programme</v>
      </c>
      <c r="E403" s="5" t="n">
        <f aca="false">IF(INDEX('Running Order'!$B$2:$B$225,B403)="Y",INDEX('Running Order'!$E$2:$E$225,B403),0)</f>
        <v>0.00582175925925926</v>
      </c>
      <c r="F403" s="6" t="n">
        <f aca="false">(A403-1)*Summary!$B$5+INDEX('Running Order'!$F$2:$F$225,B403)</f>
        <v>46296.7802430556</v>
      </c>
      <c r="G403" s="6" t="n">
        <f aca="false">F403+E403</f>
        <v>46296.7860648148</v>
      </c>
      <c r="H403" s="24" t="str">
        <f aca="false">IF(INDEX('Running Order'!$B$2:$B$225,B403)="Y","on air","dropped")</f>
        <v>on air</v>
      </c>
      <c r="I403" s="24" t="str">
        <f aca="false">IF(F403&lt;Summary!$B$4+1,"yes","")</f>
        <v>yes</v>
      </c>
    </row>
    <row r="404" customFormat="false" ht="15" hidden="false" customHeight="false" outlineLevel="0" collapsed="false">
      <c r="A404" s="24" t="n">
        <f aca="false">INT((ROW()-2)/Summary!$B$8)+1</f>
        <v>2</v>
      </c>
      <c r="B404" s="24" t="n">
        <f aca="false">MOD(ROW()-2,Summary!$B$8)+1</f>
        <v>179</v>
      </c>
      <c r="C404" s="24" t="str">
        <f aca="false">INDEX('Running Order'!$C$2:$C$225,B404)</f>
        <v>Shayo - Full Montage</v>
      </c>
      <c r="D404" s="24" t="str">
        <f aca="false">INDEX('Running Order'!$D$2:$D$225,B404)</f>
        <v>Short</v>
      </c>
      <c r="E404" s="5" t="n">
        <f aca="false">IF(INDEX('Running Order'!$B$2:$B$225,B404)="Y",INDEX('Running Order'!$E$2:$E$225,B404),0)</f>
        <v>0.000243055555555556</v>
      </c>
      <c r="F404" s="6" t="n">
        <f aca="false">(A404-1)*Summary!$B$5+INDEX('Running Order'!$F$2:$F$225,B404)</f>
        <v>46296.7860648148</v>
      </c>
      <c r="G404" s="6" t="n">
        <f aca="false">F404+E404</f>
        <v>46296.7863078704</v>
      </c>
      <c r="H404" s="24" t="str">
        <f aca="false">IF(INDEX('Running Order'!$B$2:$B$225,B404)="Y","on air","dropped")</f>
        <v>on air</v>
      </c>
      <c r="I404" s="24" t="str">
        <f aca="false">IF(F404&lt;Summary!$B$4+1,"yes","")</f>
        <v>yes</v>
      </c>
    </row>
    <row r="405" customFormat="false" ht="15" hidden="false" customHeight="false" outlineLevel="0" collapsed="false">
      <c r="A405" s="24" t="n">
        <f aca="false">INT((ROW()-2)/Summary!$B$8)+1</f>
        <v>2</v>
      </c>
      <c r="B405" s="24" t="n">
        <f aca="false">MOD(ROW()-2,Summary!$B$8)+1</f>
        <v>180</v>
      </c>
      <c r="C405" s="24" t="str">
        <f aca="false">INDEX('Running Order'!$C$2:$C$225,B405)</f>
        <v>SOUPS - Full Montage (3)_1</v>
      </c>
      <c r="D405" s="24" t="str">
        <f aca="false">INDEX('Running Order'!$D$2:$D$225,B405)</f>
        <v>Short</v>
      </c>
      <c r="E405" s="5" t="n">
        <f aca="false">IF(INDEX('Running Order'!$B$2:$B$225,B405)="Y",INDEX('Running Order'!$E$2:$E$225,B405),0)</f>
        <v>0.000381944444444445</v>
      </c>
      <c r="F405" s="6" t="n">
        <f aca="false">(A405-1)*Summary!$B$5+INDEX('Running Order'!$F$2:$F$225,B405)</f>
        <v>46296.7863078704</v>
      </c>
      <c r="G405" s="6" t="n">
        <f aca="false">F405+E405</f>
        <v>46296.7866898148</v>
      </c>
      <c r="H405" s="24" t="str">
        <f aca="false">IF(INDEX('Running Order'!$B$2:$B$225,B405)="Y","on air","dropped")</f>
        <v>on air</v>
      </c>
      <c r="I405" s="24" t="str">
        <f aca="false">IF(F405&lt;Summary!$B$4+1,"yes","")</f>
        <v>yes</v>
      </c>
    </row>
    <row r="406" customFormat="false" ht="15" hidden="false" customHeight="false" outlineLevel="0" collapsed="false">
      <c r="A406" s="24" t="n">
        <f aca="false">INT((ROW()-2)/Summary!$B$8)+1</f>
        <v>2</v>
      </c>
      <c r="B406" s="24" t="n">
        <f aca="false">MOD(ROW()-2,Summary!$B$8)+1</f>
        <v>181</v>
      </c>
      <c r="C406" s="24" t="str">
        <f aca="false">INDEX('Running Order'!$C$2:$C$225,B406)</f>
        <v>GOODNESS KITCHEN WITH CHEF T</v>
      </c>
      <c r="D406" s="24" t="str">
        <f aca="false">INDEX('Running Order'!$D$2:$D$225,B406)</f>
        <v>Programme</v>
      </c>
      <c r="E406" s="5" t="n">
        <f aca="false">IF(INDEX('Running Order'!$B$2:$B$225,B406)="Y",INDEX('Running Order'!$E$2:$E$225,B406),0)</f>
        <v>0.0146875</v>
      </c>
      <c r="F406" s="6" t="n">
        <f aca="false">(A406-1)*Summary!$B$5+INDEX('Running Order'!$F$2:$F$225,B406)</f>
        <v>46296.7866898148</v>
      </c>
      <c r="G406" s="6" t="n">
        <f aca="false">F406+E406</f>
        <v>46296.8013773148</v>
      </c>
      <c r="H406" s="24" t="str">
        <f aca="false">IF(INDEX('Running Order'!$B$2:$B$225,B406)="Y","on air","dropped")</f>
        <v>on air</v>
      </c>
      <c r="I406" s="24" t="str">
        <f aca="false">IF(F406&lt;Summary!$B$4+1,"yes","")</f>
        <v>yes</v>
      </c>
    </row>
    <row r="407" customFormat="false" ht="15" hidden="false" customHeight="false" outlineLevel="0" collapsed="false">
      <c r="A407" s="24" t="n">
        <f aca="false">INT((ROW()-2)/Summary!$B$8)+1</f>
        <v>2</v>
      </c>
      <c r="B407" s="24" t="n">
        <f aca="false">MOD(ROW()-2,Summary!$B$8)+1</f>
        <v>182</v>
      </c>
      <c r="C407" s="24" t="str">
        <f aca="false">INDEX('Running Order'!$C$2:$C$225,B407)</f>
        <v>TATTASE TV STING</v>
      </c>
      <c r="D407" s="24" t="str">
        <f aca="false">INDEX('Running Order'!$D$2:$D$225,B407)</f>
        <v>Sting</v>
      </c>
      <c r="E407" s="5" t="n">
        <f aca="false">IF(INDEX('Running Order'!$B$2:$B$225,B407)="Y",INDEX('Running Order'!$E$2:$E$225,B407),0)</f>
        <v>6.94444444444444E-005</v>
      </c>
      <c r="F407" s="6" t="n">
        <f aca="false">(A407-1)*Summary!$B$5+INDEX('Running Order'!$F$2:$F$225,B407)</f>
        <v>46296.8013773148</v>
      </c>
      <c r="G407" s="6" t="n">
        <f aca="false">F407+E407</f>
        <v>46296.8014467593</v>
      </c>
      <c r="H407" s="24" t="str">
        <f aca="false">IF(INDEX('Running Order'!$B$2:$B$225,B407)="Y","on air","dropped")</f>
        <v>on air</v>
      </c>
      <c r="I407" s="24" t="str">
        <f aca="false">IF(F407&lt;Summary!$B$4+1,"yes","")</f>
        <v>yes</v>
      </c>
    </row>
    <row r="408" customFormat="false" ht="15" hidden="false" customHeight="false" outlineLevel="0" collapsed="false">
      <c r="A408" s="24" t="n">
        <f aca="false">INT((ROW()-2)/Summary!$B$8)+1</f>
        <v>2</v>
      </c>
      <c r="B408" s="24" t="n">
        <f aca="false">MOD(ROW()-2,Summary!$B$8)+1</f>
        <v>183</v>
      </c>
      <c r="C408" s="24" t="str">
        <f aca="false">INDEX('Running Order'!$C$2:$C$225,B408)</f>
        <v>BOYS CAN COOK TV SHOW OPENING MONTAGE</v>
      </c>
      <c r="D408" s="24" t="str">
        <f aca="false">INDEX('Running Order'!$D$2:$D$225,B408)</f>
        <v>Short</v>
      </c>
      <c r="E408" s="5" t="n">
        <f aca="false">IF(INDEX('Running Order'!$B$2:$B$225,B408)="Y",INDEX('Running Order'!$E$2:$E$225,B408),0)</f>
        <v>0.000243055555555556</v>
      </c>
      <c r="F408" s="6" t="n">
        <f aca="false">(A408-1)*Summary!$B$5+INDEX('Running Order'!$F$2:$F$225,B408)</f>
        <v>46296.8014467593</v>
      </c>
      <c r="G408" s="6" t="n">
        <f aca="false">F408+E408</f>
        <v>46296.8016898148</v>
      </c>
      <c r="H408" s="24" t="str">
        <f aca="false">IF(INDEX('Running Order'!$B$2:$B$225,B408)="Y","on air","dropped")</f>
        <v>on air</v>
      </c>
      <c r="I408" s="24" t="str">
        <f aca="false">IF(F408&lt;Summary!$B$4+1,"yes","")</f>
        <v>yes</v>
      </c>
    </row>
    <row r="409" customFormat="false" ht="15" hidden="false" customHeight="false" outlineLevel="0" collapsed="false">
      <c r="A409" s="24" t="n">
        <f aca="false">INT((ROW()-2)/Summary!$B$8)+1</f>
        <v>2</v>
      </c>
      <c r="B409" s="24" t="n">
        <f aca="false">MOD(ROW()-2,Summary!$B$8)+1</f>
        <v>184</v>
      </c>
      <c r="C409" s="24" t="str">
        <f aca="false">INDEX('Running Order'!$C$2:$C$225,B409)</f>
        <v>TWISCO AMVCA</v>
      </c>
      <c r="D409" s="24" t="str">
        <f aca="false">INDEX('Running Order'!$D$2:$D$225,B409)</f>
        <v>Commercial</v>
      </c>
      <c r="E409" s="5" t="n">
        <f aca="false">IF(INDEX('Running Order'!$B$2:$B$225,B409)="Y",INDEX('Running Order'!$E$2:$E$225,B409),0)</f>
        <v>0.000474537037037037</v>
      </c>
      <c r="F409" s="6" t="n">
        <f aca="false">(A409-1)*Summary!$B$5+INDEX('Running Order'!$F$2:$F$225,B409)</f>
        <v>46296.8016898148</v>
      </c>
      <c r="G409" s="6" t="n">
        <f aca="false">F409+E409</f>
        <v>46296.8021643519</v>
      </c>
      <c r="H409" s="24" t="str">
        <f aca="false">IF(INDEX('Running Order'!$B$2:$B$225,B409)="Y","on air","dropped")</f>
        <v>on air</v>
      </c>
      <c r="I409" s="24" t="str">
        <f aca="false">IF(F409&lt;Summary!$B$4+1,"yes","")</f>
        <v>yes</v>
      </c>
    </row>
    <row r="410" customFormat="false" ht="15" hidden="false" customHeight="false" outlineLevel="0" collapsed="false">
      <c r="A410" s="24" t="n">
        <f aca="false">INT((ROW()-2)/Summary!$B$8)+1</f>
        <v>2</v>
      </c>
      <c r="B410" s="24" t="n">
        <f aca="false">MOD(ROW()-2,Summary!$B$8)+1</f>
        <v>185</v>
      </c>
      <c r="C410" s="24" t="str">
        <f aca="false">INDEX('Running Order'!$C$2:$C$225,B410)</f>
        <v>CHANNEL MONTAGE</v>
      </c>
      <c r="D410" s="24" t="str">
        <f aca="false">INDEX('Running Order'!$D$2:$D$225,B410)</f>
        <v>Montage</v>
      </c>
      <c r="E410" s="5" t="n">
        <f aca="false">IF(INDEX('Running Order'!$B$2:$B$225,B410)="Y",INDEX('Running Order'!$E$2:$E$225,B410),0)</f>
        <v>0.000115740740740741</v>
      </c>
      <c r="F410" s="6" t="n">
        <f aca="false">(A410-1)*Summary!$B$5+INDEX('Running Order'!$F$2:$F$225,B410)</f>
        <v>46296.8021643519</v>
      </c>
      <c r="G410" s="6" t="n">
        <f aca="false">F410+E410</f>
        <v>46296.8022800926</v>
      </c>
      <c r="H410" s="24" t="str">
        <f aca="false">IF(INDEX('Running Order'!$B$2:$B$225,B410)="Y","on air","dropped")</f>
        <v>on air</v>
      </c>
      <c r="I410" s="24" t="str">
        <f aca="false">IF(F410&lt;Summary!$B$4+1,"yes","")</f>
        <v>yes</v>
      </c>
    </row>
    <row r="411" customFormat="false" ht="15" hidden="false" customHeight="false" outlineLevel="0" collapsed="false">
      <c r="A411" s="24" t="n">
        <f aca="false">INT((ROW()-2)/Summary!$B$8)+1</f>
        <v>2</v>
      </c>
      <c r="B411" s="24" t="n">
        <f aca="false">MOD(ROW()-2,Summary!$B$8)+1</f>
        <v>186</v>
      </c>
      <c r="C411" s="24" t="str">
        <f aca="false">INDEX('Running Order'!$C$2:$C$225,B411)</f>
        <v>How to Make Okro soup with Mr. Chef</v>
      </c>
      <c r="D411" s="24" t="str">
        <f aca="false">INDEX('Running Order'!$D$2:$D$225,B411)</f>
        <v>Short</v>
      </c>
      <c r="E411" s="5" t="n">
        <f aca="false">IF(INDEX('Running Order'!$B$2:$B$225,B411)="Y",INDEX('Running Order'!$E$2:$E$225,B411),0)</f>
        <v>0.000648148148148148</v>
      </c>
      <c r="F411" s="6" t="n">
        <f aca="false">(A411-1)*Summary!$B$5+INDEX('Running Order'!$F$2:$F$225,B411)</f>
        <v>46296.8022800926</v>
      </c>
      <c r="G411" s="6" t="n">
        <f aca="false">F411+E411</f>
        <v>46296.8029282407</v>
      </c>
      <c r="H411" s="24" t="str">
        <f aca="false">IF(INDEX('Running Order'!$B$2:$B$225,B411)="Y","on air","dropped")</f>
        <v>on air</v>
      </c>
      <c r="I411" s="24" t="str">
        <f aca="false">IF(F411&lt;Summary!$B$4+1,"yes","")</f>
        <v>yes</v>
      </c>
    </row>
    <row r="412" customFormat="false" ht="15" hidden="false" customHeight="false" outlineLevel="0" collapsed="false">
      <c r="A412" s="24" t="n">
        <f aca="false">INT((ROW()-2)/Summary!$B$8)+1</f>
        <v>2</v>
      </c>
      <c r="B412" s="24" t="n">
        <f aca="false">MOD(ROW()-2,Summary!$B$8)+1</f>
        <v>187</v>
      </c>
      <c r="C412" s="24" t="str">
        <f aca="false">INDEX('Running Order'!$C$2:$C$225,B412)</f>
        <v>CHIVITA ADVERT WITHOUT LOGO</v>
      </c>
      <c r="D412" s="24" t="str">
        <f aca="false">INDEX('Running Order'!$D$2:$D$225,B412)</f>
        <v>Commercial</v>
      </c>
      <c r="E412" s="5" t="n">
        <f aca="false">IF(INDEX('Running Order'!$B$2:$B$225,B412)="Y",INDEX('Running Order'!$E$2:$E$225,B412),0)</f>
        <v>0.00292824074074074</v>
      </c>
      <c r="F412" s="6" t="n">
        <f aca="false">(A412-1)*Summary!$B$5+INDEX('Running Order'!$F$2:$F$225,B412)</f>
        <v>46296.8029282407</v>
      </c>
      <c r="G412" s="6" t="n">
        <f aca="false">F412+E412</f>
        <v>46296.8058564815</v>
      </c>
      <c r="H412" s="24" t="str">
        <f aca="false">IF(INDEX('Running Order'!$B$2:$B$225,B412)="Y","on air","dropped")</f>
        <v>on air</v>
      </c>
      <c r="I412" s="24" t="str">
        <f aca="false">IF(F412&lt;Summary!$B$4+1,"yes","")</f>
        <v>yes</v>
      </c>
    </row>
    <row r="413" customFormat="false" ht="15" hidden="false" customHeight="false" outlineLevel="0" collapsed="false">
      <c r="A413" s="24" t="n">
        <f aca="false">INT((ROW()-2)/Summary!$B$8)+1</f>
        <v>2</v>
      </c>
      <c r="B413" s="24" t="n">
        <f aca="false">MOD(ROW()-2,Summary!$B$8)+1</f>
        <v>188</v>
      </c>
      <c r="C413" s="24" t="str">
        <f aca="false">INDEX('Running Order'!$C$2:$C$225,B413)</f>
        <v>TATTASE TV STING</v>
      </c>
      <c r="D413" s="24" t="str">
        <f aca="false">INDEX('Running Order'!$D$2:$D$225,B413)</f>
        <v>Sting</v>
      </c>
      <c r="E413" s="5" t="n">
        <f aca="false">IF(INDEX('Running Order'!$B$2:$B$225,B413)="Y",INDEX('Running Order'!$E$2:$E$225,B413),0)</f>
        <v>6.94444444444444E-005</v>
      </c>
      <c r="F413" s="6" t="n">
        <f aca="false">(A413-1)*Summary!$B$5+INDEX('Running Order'!$F$2:$F$225,B413)</f>
        <v>46296.8058564815</v>
      </c>
      <c r="G413" s="6" t="n">
        <f aca="false">F413+E413</f>
        <v>46296.8059259259</v>
      </c>
      <c r="H413" s="24" t="str">
        <f aca="false">IF(INDEX('Running Order'!$B$2:$B$225,B413)="Y","on air","dropped")</f>
        <v>on air</v>
      </c>
      <c r="I413" s="24" t="str">
        <f aca="false">IF(F413&lt;Summary!$B$4+1,"yes","")</f>
        <v>yes</v>
      </c>
    </row>
    <row r="414" customFormat="false" ht="15" hidden="false" customHeight="false" outlineLevel="0" collapsed="false">
      <c r="A414" s="24" t="n">
        <f aca="false">INT((ROW()-2)/Summary!$B$8)+1</f>
        <v>2</v>
      </c>
      <c r="B414" s="24" t="n">
        <f aca="false">MOD(ROW()-2,Summary!$B$8)+1</f>
        <v>189</v>
      </c>
      <c r="C414" s="24" t="str">
        <f aca="false">INDEX('Running Order'!$C$2:$C$225,B414)</f>
        <v>DONE STREET FOOD TOUR MR ROLAND (ISLANDER BARBEQUE)</v>
      </c>
      <c r="D414" s="24" t="str">
        <f aca="false">INDEX('Running Order'!$D$2:$D$225,B414)</f>
        <v>Programme</v>
      </c>
      <c r="E414" s="5" t="n">
        <f aca="false">IF(INDEX('Running Order'!$B$2:$B$225,B414)="Y",INDEX('Running Order'!$E$2:$E$225,B414),0)</f>
        <v>0.00454861111111111</v>
      </c>
      <c r="F414" s="6" t="n">
        <f aca="false">(A414-1)*Summary!$B$5+INDEX('Running Order'!$F$2:$F$225,B414)</f>
        <v>46296.8059259259</v>
      </c>
      <c r="G414" s="6" t="n">
        <f aca="false">F414+E414</f>
        <v>46296.810474537</v>
      </c>
      <c r="H414" s="24" t="str">
        <f aca="false">IF(INDEX('Running Order'!$B$2:$B$225,B414)="Y","on air","dropped")</f>
        <v>on air</v>
      </c>
      <c r="I414" s="24" t="str">
        <f aca="false">IF(F414&lt;Summary!$B$4+1,"yes","")</f>
        <v>yes</v>
      </c>
    </row>
    <row r="415" customFormat="false" ht="15" hidden="false" customHeight="false" outlineLevel="0" collapsed="false">
      <c r="A415" s="24" t="n">
        <f aca="false">INT((ROW()-2)/Summary!$B$8)+1</f>
        <v>2</v>
      </c>
      <c r="B415" s="24" t="n">
        <f aca="false">MOD(ROW()-2,Summary!$B$8)+1</f>
        <v>190</v>
      </c>
      <c r="C415" s="24" t="str">
        <f aca="false">INDEX('Running Order'!$C$2:$C$225,B415)</f>
        <v>FAYROUZ</v>
      </c>
      <c r="D415" s="24" t="str">
        <f aca="false">INDEX('Running Order'!$D$2:$D$225,B415)</f>
        <v>Commercial</v>
      </c>
      <c r="E415" s="5" t="n">
        <f aca="false">IF(INDEX('Running Order'!$B$2:$B$225,B415)="Y",INDEX('Running Order'!$E$2:$E$225,B415),0)</f>
        <v>0.000694444444444445</v>
      </c>
      <c r="F415" s="6" t="n">
        <f aca="false">(A415-1)*Summary!$B$5+INDEX('Running Order'!$F$2:$F$225,B415)</f>
        <v>46296.810474537</v>
      </c>
      <c r="G415" s="6" t="n">
        <f aca="false">F415+E415</f>
        <v>46296.8111689815</v>
      </c>
      <c r="H415" s="24" t="str">
        <f aca="false">IF(INDEX('Running Order'!$B$2:$B$225,B415)="Y","on air","dropped")</f>
        <v>on air</v>
      </c>
      <c r="I415" s="24" t="str">
        <f aca="false">IF(F415&lt;Summary!$B$4+1,"yes","")</f>
        <v>yes</v>
      </c>
    </row>
    <row r="416" customFormat="false" ht="15" hidden="false" customHeight="false" outlineLevel="0" collapsed="false">
      <c r="A416" s="24" t="n">
        <f aca="false">INT((ROW()-2)/Summary!$B$8)+1</f>
        <v>2</v>
      </c>
      <c r="B416" s="24" t="n">
        <f aca="false">MOD(ROW()-2,Summary!$B$8)+1</f>
        <v>191</v>
      </c>
      <c r="C416" s="24" t="str">
        <f aca="false">INDEX('Running Order'!$C$2:$C$225,B416)</f>
        <v>TATTASE TV STING</v>
      </c>
      <c r="D416" s="24" t="str">
        <f aca="false">INDEX('Running Order'!$D$2:$D$225,B416)</f>
        <v>Sting</v>
      </c>
      <c r="E416" s="5" t="n">
        <f aca="false">IF(INDEX('Running Order'!$B$2:$B$225,B416)="Y",INDEX('Running Order'!$E$2:$E$225,B416),0)</f>
        <v>6.94444444444444E-005</v>
      </c>
      <c r="F416" s="6" t="n">
        <f aca="false">(A416-1)*Summary!$B$5+INDEX('Running Order'!$F$2:$F$225,B416)</f>
        <v>46296.8111689815</v>
      </c>
      <c r="G416" s="6" t="n">
        <f aca="false">F416+E416</f>
        <v>46296.8112384259</v>
      </c>
      <c r="H416" s="24" t="str">
        <f aca="false">IF(INDEX('Running Order'!$B$2:$B$225,B416)="Y","on air","dropped")</f>
        <v>on air</v>
      </c>
      <c r="I416" s="24" t="str">
        <f aca="false">IF(F416&lt;Summary!$B$4+1,"yes","")</f>
        <v>yes</v>
      </c>
    </row>
    <row r="417" customFormat="false" ht="15" hidden="false" customHeight="false" outlineLevel="0" collapsed="false">
      <c r="A417" s="24" t="n">
        <f aca="false">INT((ROW()-2)/Summary!$B$8)+1</f>
        <v>2</v>
      </c>
      <c r="B417" s="24" t="n">
        <f aca="false">MOD(ROW()-2,Summary!$B$8)+1</f>
        <v>192</v>
      </c>
      <c r="C417" s="24" t="str">
        <f aca="false">INDEX('Running Order'!$C$2:$C$225,B417)</f>
        <v>MERCYS MENU SEASON 2 EPISODE 1 TAAOOMA COCONUT NOODLES</v>
      </c>
      <c r="D417" s="24" t="str">
        <f aca="false">INDEX('Running Order'!$D$2:$D$225,B417)</f>
        <v>Programme</v>
      </c>
      <c r="E417" s="5" t="n">
        <f aca="false">IF(INDEX('Running Order'!$B$2:$B$225,B417)="Y",INDEX('Running Order'!$E$2:$E$225,B417),0)</f>
        <v>0.0157407407407407</v>
      </c>
      <c r="F417" s="6" t="n">
        <f aca="false">(A417-1)*Summary!$B$5+INDEX('Running Order'!$F$2:$F$225,B417)</f>
        <v>46296.8112384259</v>
      </c>
      <c r="G417" s="6" t="n">
        <f aca="false">F417+E417</f>
        <v>46296.8269791667</v>
      </c>
      <c r="H417" s="24" t="str">
        <f aca="false">IF(INDEX('Running Order'!$B$2:$B$225,B417)="Y","on air","dropped")</f>
        <v>on air</v>
      </c>
      <c r="I417" s="24" t="str">
        <f aca="false">IF(F417&lt;Summary!$B$4+1,"yes","")</f>
        <v>yes</v>
      </c>
    </row>
    <row r="418" customFormat="false" ht="15" hidden="false" customHeight="false" outlineLevel="0" collapsed="false">
      <c r="A418" s="24" t="n">
        <f aca="false">INT((ROW()-2)/Summary!$B$8)+1</f>
        <v>2</v>
      </c>
      <c r="B418" s="24" t="n">
        <f aca="false">MOD(ROW()-2,Summary!$B$8)+1</f>
        <v>193</v>
      </c>
      <c r="C418" s="24" t="str">
        <f aca="false">INDEX('Running Order'!$C$2:$C$225,B418)</f>
        <v>TATTASE TV STING</v>
      </c>
      <c r="D418" s="24" t="str">
        <f aca="false">INDEX('Running Order'!$D$2:$D$225,B418)</f>
        <v>Sting</v>
      </c>
      <c r="E418" s="5" t="n">
        <f aca="false">IF(INDEX('Running Order'!$B$2:$B$225,B418)="Y",INDEX('Running Order'!$E$2:$E$225,B418),0)</f>
        <v>6.94444444444444E-005</v>
      </c>
      <c r="F418" s="6" t="n">
        <f aca="false">(A418-1)*Summary!$B$5+INDEX('Running Order'!$F$2:$F$225,B418)</f>
        <v>46296.8269791667</v>
      </c>
      <c r="G418" s="6" t="n">
        <f aca="false">F418+E418</f>
        <v>46296.8270486111</v>
      </c>
      <c r="H418" s="24" t="str">
        <f aca="false">IF(INDEX('Running Order'!$B$2:$B$225,B418)="Y","on air","dropped")</f>
        <v>on air</v>
      </c>
      <c r="I418" s="24" t="str">
        <f aca="false">IF(F418&lt;Summary!$B$4+1,"yes","")</f>
        <v>yes</v>
      </c>
    </row>
    <row r="419" customFormat="false" ht="15" hidden="false" customHeight="false" outlineLevel="0" collapsed="false">
      <c r="A419" s="24" t="n">
        <f aca="false">INT((ROW()-2)/Summary!$B$8)+1</f>
        <v>2</v>
      </c>
      <c r="B419" s="24" t="n">
        <f aca="false">MOD(ROW()-2,Summary!$B$8)+1</f>
        <v>194</v>
      </c>
      <c r="C419" s="24" t="str">
        <f aca="false">INDEX('Running Order'!$C$2:$C$225,B419)</f>
        <v>TERRA CUBE COMMERCIAL</v>
      </c>
      <c r="D419" s="24" t="str">
        <f aca="false">INDEX('Running Order'!$D$2:$D$225,B419)</f>
        <v>Commercial</v>
      </c>
      <c r="E419" s="5" t="n">
        <f aca="false">IF(INDEX('Running Order'!$B$2:$B$225,B419)="Y",INDEX('Running Order'!$E$2:$E$225,B419),0)</f>
        <v>0.000694444444444445</v>
      </c>
      <c r="F419" s="6" t="n">
        <f aca="false">(A419-1)*Summary!$B$5+INDEX('Running Order'!$F$2:$F$225,B419)</f>
        <v>46296.8270486111</v>
      </c>
      <c r="G419" s="6" t="n">
        <f aca="false">F419+E419</f>
        <v>46296.8277430556</v>
      </c>
      <c r="H419" s="24" t="str">
        <f aca="false">IF(INDEX('Running Order'!$B$2:$B$225,B419)="Y","on air","dropped")</f>
        <v>on air</v>
      </c>
      <c r="I419" s="24" t="str">
        <f aca="false">IF(F419&lt;Summary!$B$4+1,"yes","")</f>
        <v>yes</v>
      </c>
    </row>
    <row r="420" customFormat="false" ht="15" hidden="false" customHeight="false" outlineLevel="0" collapsed="false">
      <c r="A420" s="24" t="n">
        <f aca="false">INT((ROW()-2)/Summary!$B$8)+1</f>
        <v>2</v>
      </c>
      <c r="B420" s="24" t="n">
        <f aca="false">MOD(ROW()-2,Summary!$B$8)+1</f>
        <v>195</v>
      </c>
      <c r="C420" s="24" t="str">
        <f aca="false">INDEX('Running Order'!$C$2:$C$225,B420)</f>
        <v>the new Ayoola Poundo Yam Packs</v>
      </c>
      <c r="D420" s="24" t="str">
        <f aca="false">INDEX('Running Order'!$D$2:$D$225,B420)</f>
        <v>Commercial</v>
      </c>
      <c r="E420" s="5" t="n">
        <f aca="false">IF(INDEX('Running Order'!$B$2:$B$225,B420)="Y",INDEX('Running Order'!$E$2:$E$225,B420),0)</f>
        <v>0.00149305555555556</v>
      </c>
      <c r="F420" s="6" t="n">
        <f aca="false">(A420-1)*Summary!$B$5+INDEX('Running Order'!$F$2:$F$225,B420)</f>
        <v>46296.8277430556</v>
      </c>
      <c r="G420" s="6" t="n">
        <f aca="false">F420+E420</f>
        <v>46296.8292361111</v>
      </c>
      <c r="H420" s="24" t="str">
        <f aca="false">IF(INDEX('Running Order'!$B$2:$B$225,B420)="Y","on air","dropped")</f>
        <v>on air</v>
      </c>
      <c r="I420" s="24" t="str">
        <f aca="false">IF(F420&lt;Summary!$B$4+1,"yes","")</f>
        <v>yes</v>
      </c>
    </row>
    <row r="421" customFormat="false" ht="15" hidden="false" customHeight="false" outlineLevel="0" collapsed="false">
      <c r="A421" s="24" t="n">
        <f aca="false">INT((ROW()-2)/Summary!$B$8)+1</f>
        <v>2</v>
      </c>
      <c r="B421" s="24" t="n">
        <f aca="false">MOD(ROW()-2,Summary!$B$8)+1</f>
        <v>196</v>
      </c>
      <c r="C421" s="24" t="str">
        <f aca="false">INDEX('Running Order'!$C$2:$C$225,B421)</f>
        <v>TATTASE TV STING</v>
      </c>
      <c r="D421" s="24" t="str">
        <f aca="false">INDEX('Running Order'!$D$2:$D$225,B421)</f>
        <v>Sting</v>
      </c>
      <c r="E421" s="5" t="n">
        <f aca="false">IF(INDEX('Running Order'!$B$2:$B$225,B421)="Y",INDEX('Running Order'!$E$2:$E$225,B421),0)</f>
        <v>6.94444444444444E-005</v>
      </c>
      <c r="F421" s="6" t="n">
        <f aca="false">(A421-1)*Summary!$B$5+INDEX('Running Order'!$F$2:$F$225,B421)</f>
        <v>46296.8292361111</v>
      </c>
      <c r="G421" s="6" t="n">
        <f aca="false">F421+E421</f>
        <v>46296.8293055556</v>
      </c>
      <c r="H421" s="24" t="str">
        <f aca="false">IF(INDEX('Running Order'!$B$2:$B$225,B421)="Y","on air","dropped")</f>
        <v>on air</v>
      </c>
      <c r="I421" s="24" t="str">
        <f aca="false">IF(F421&lt;Summary!$B$4+1,"yes","")</f>
        <v>yes</v>
      </c>
    </row>
    <row r="422" customFormat="false" ht="15" hidden="false" customHeight="false" outlineLevel="0" collapsed="false">
      <c r="A422" s="24" t="n">
        <f aca="false">INT((ROW()-2)/Summary!$B$8)+1</f>
        <v>2</v>
      </c>
      <c r="B422" s="24" t="n">
        <f aca="false">MOD(ROW()-2,Summary!$B$8)+1</f>
        <v>197</v>
      </c>
      <c r="C422" s="24" t="str">
        <f aca="false">INDEX('Running Order'!$C$2:$C$225,B422)</f>
        <v>GOLDEN PENNY SOUP FEST</v>
      </c>
      <c r="D422" s="24" t="str">
        <f aca="false">INDEX('Running Order'!$D$2:$D$225,B422)</f>
        <v>Short</v>
      </c>
      <c r="E422" s="5" t="n">
        <f aca="false">IF(INDEX('Running Order'!$B$2:$B$225,B422)="Y",INDEX('Running Order'!$E$2:$E$225,B422),0)</f>
        <v>0.0009375</v>
      </c>
      <c r="F422" s="6" t="n">
        <f aca="false">(A422-1)*Summary!$B$5+INDEX('Running Order'!$F$2:$F$225,B422)</f>
        <v>46296.8293055556</v>
      </c>
      <c r="G422" s="6" t="n">
        <f aca="false">F422+E422</f>
        <v>46296.8302430556</v>
      </c>
      <c r="H422" s="24" t="str">
        <f aca="false">IF(INDEX('Running Order'!$B$2:$B$225,B422)="Y","on air","dropped")</f>
        <v>on air</v>
      </c>
      <c r="I422" s="24" t="str">
        <f aca="false">IF(F422&lt;Summary!$B$4+1,"yes","")</f>
        <v>yes</v>
      </c>
    </row>
    <row r="423" customFormat="false" ht="15" hidden="false" customHeight="false" outlineLevel="0" collapsed="false">
      <c r="A423" s="24" t="n">
        <f aca="false">INT((ROW()-2)/Summary!$B$8)+1</f>
        <v>2</v>
      </c>
      <c r="B423" s="24" t="n">
        <f aca="false">MOD(ROW()-2,Summary!$B$8)+1</f>
        <v>198</v>
      </c>
      <c r="C423" s="24" t="str">
        <f aca="false">INDEX('Running Order'!$C$2:$C$225,B423)</f>
        <v>WHAT'S COOKING TRAILER 1</v>
      </c>
      <c r="D423" s="24" t="str">
        <f aca="false">INDEX('Running Order'!$D$2:$D$225,B423)</f>
        <v>Promo</v>
      </c>
      <c r="E423" s="5" t="n">
        <f aca="false">IF(INDEX('Running Order'!$B$2:$B$225,B423)="Y",INDEX('Running Order'!$E$2:$E$225,B423),0)</f>
        <v>0.00056712962962963</v>
      </c>
      <c r="F423" s="6" t="n">
        <f aca="false">(A423-1)*Summary!$B$5+INDEX('Running Order'!$F$2:$F$225,B423)</f>
        <v>46296.8302430556</v>
      </c>
      <c r="G423" s="6" t="n">
        <f aca="false">F423+E423</f>
        <v>46296.8308101852</v>
      </c>
      <c r="H423" s="24" t="str">
        <f aca="false">IF(INDEX('Running Order'!$B$2:$B$225,B423)="Y","on air","dropped")</f>
        <v>on air</v>
      </c>
      <c r="I423" s="24" t="str">
        <f aca="false">IF(F423&lt;Summary!$B$4+1,"yes","")</f>
        <v>yes</v>
      </c>
    </row>
    <row r="424" customFormat="false" ht="15" hidden="false" customHeight="false" outlineLevel="0" collapsed="false">
      <c r="A424" s="24" t="n">
        <f aca="false">INT((ROW()-2)/Summary!$B$8)+1</f>
        <v>2</v>
      </c>
      <c r="B424" s="24" t="n">
        <f aca="false">MOD(ROW()-2,Summary!$B$8)+1</f>
        <v>199</v>
      </c>
      <c r="C424" s="24" t="str">
        <f aca="false">INDEX('Running Order'!$C$2:$C$225,B424)</f>
        <v>CHANNEL MONTAGE</v>
      </c>
      <c r="D424" s="24" t="str">
        <f aca="false">INDEX('Running Order'!$D$2:$D$225,B424)</f>
        <v>Montage</v>
      </c>
      <c r="E424" s="5" t="n">
        <f aca="false">IF(INDEX('Running Order'!$B$2:$B$225,B424)="Y",INDEX('Running Order'!$E$2:$E$225,B424),0)</f>
        <v>0.000115740740740741</v>
      </c>
      <c r="F424" s="6" t="n">
        <f aca="false">(A424-1)*Summary!$B$5+INDEX('Running Order'!$F$2:$F$225,B424)</f>
        <v>46296.8308101852</v>
      </c>
      <c r="G424" s="6" t="n">
        <f aca="false">F424+E424</f>
        <v>46296.8309259259</v>
      </c>
      <c r="H424" s="24" t="str">
        <f aca="false">IF(INDEX('Running Order'!$B$2:$B$225,B424)="Y","on air","dropped")</f>
        <v>on air</v>
      </c>
      <c r="I424" s="24" t="str">
        <f aca="false">IF(F424&lt;Summary!$B$4+1,"yes","")</f>
        <v>yes</v>
      </c>
    </row>
    <row r="425" customFormat="false" ht="15" hidden="false" customHeight="false" outlineLevel="0" collapsed="false">
      <c r="A425" s="24" t="n">
        <f aca="false">INT((ROW()-2)/Summary!$B$8)+1</f>
        <v>2</v>
      </c>
      <c r="B425" s="24" t="n">
        <f aca="false">MOD(ROW()-2,Summary!$B$8)+1</f>
        <v>200</v>
      </c>
      <c r="C425" s="24" t="str">
        <f aca="false">INDEX('Running Order'!$C$2:$C$225,B425)</f>
        <v>AKWAABA DAY1</v>
      </c>
      <c r="D425" s="24" t="str">
        <f aca="false">INDEX('Running Order'!$D$2:$D$225,B425)</f>
        <v>Programme</v>
      </c>
      <c r="E425" s="5" t="n">
        <f aca="false">IF(INDEX('Running Order'!$B$2:$B$225,B425)="Y",INDEX('Running Order'!$E$2:$E$225,B425),0)</f>
        <v>0.0186921296296296</v>
      </c>
      <c r="F425" s="6" t="n">
        <f aca="false">(A425-1)*Summary!$B$5+INDEX('Running Order'!$F$2:$F$225,B425)</f>
        <v>46296.8309259259</v>
      </c>
      <c r="G425" s="6" t="n">
        <f aca="false">F425+E425</f>
        <v>46296.8496180556</v>
      </c>
      <c r="H425" s="24" t="str">
        <f aca="false">IF(INDEX('Running Order'!$B$2:$B$225,B425)="Y","on air","dropped")</f>
        <v>on air</v>
      </c>
      <c r="I425" s="24" t="str">
        <f aca="false">IF(F425&lt;Summary!$B$4+1,"yes","")</f>
        <v>yes</v>
      </c>
    </row>
    <row r="426" customFormat="false" ht="15" hidden="false" customHeight="false" outlineLevel="0" collapsed="false">
      <c r="A426" s="24" t="n">
        <f aca="false">INT((ROW()-2)/Summary!$B$8)+1</f>
        <v>2</v>
      </c>
      <c r="B426" s="24" t="n">
        <f aca="false">MOD(ROW()-2,Summary!$B$8)+1</f>
        <v>201</v>
      </c>
      <c r="C426" s="24" t="str">
        <f aca="false">INDEX('Running Order'!$C$2:$C$225,B426)</f>
        <v>CHANNEL MONTAGE</v>
      </c>
      <c r="D426" s="24" t="str">
        <f aca="false">INDEX('Running Order'!$D$2:$D$225,B426)</f>
        <v>Montage</v>
      </c>
      <c r="E426" s="5" t="n">
        <f aca="false">IF(INDEX('Running Order'!$B$2:$B$225,B426)="Y",INDEX('Running Order'!$E$2:$E$225,B426),0)</f>
        <v>0.000115740740740741</v>
      </c>
      <c r="F426" s="6" t="n">
        <f aca="false">(A426-1)*Summary!$B$5+INDEX('Running Order'!$F$2:$F$225,B426)</f>
        <v>46296.8496180556</v>
      </c>
      <c r="G426" s="6" t="n">
        <f aca="false">F426+E426</f>
        <v>46296.8497337963</v>
      </c>
      <c r="H426" s="24" t="str">
        <f aca="false">IF(INDEX('Running Order'!$B$2:$B$225,B426)="Y","on air","dropped")</f>
        <v>on air</v>
      </c>
      <c r="I426" s="24" t="str">
        <f aca="false">IF(F426&lt;Summary!$B$4+1,"yes","")</f>
        <v/>
      </c>
    </row>
    <row r="427" customFormat="false" ht="15" hidden="false" customHeight="false" outlineLevel="0" collapsed="false">
      <c r="A427" s="24" t="n">
        <f aca="false">INT((ROW()-2)/Summary!$B$8)+1</f>
        <v>2</v>
      </c>
      <c r="B427" s="24" t="n">
        <f aca="false">MOD(ROW()-2,Summary!$B$8)+1</f>
        <v>202</v>
      </c>
      <c r="C427" s="24" t="str">
        <f aca="false">INDEX('Running Order'!$C$2:$C$225,B427)</f>
        <v>New and Improved Gino Max Chicken Cubes</v>
      </c>
      <c r="D427" s="24" t="str">
        <f aca="false">INDEX('Running Order'!$D$2:$D$225,B427)</f>
        <v>Commercial</v>
      </c>
      <c r="E427" s="5" t="n">
        <f aca="false">IF(INDEX('Running Order'!$B$2:$B$225,B427)="Y",INDEX('Running Order'!$E$2:$E$225,B427),0)</f>
        <v>0.000520833333333333</v>
      </c>
      <c r="F427" s="6" t="n">
        <f aca="false">(A427-1)*Summary!$B$5+INDEX('Running Order'!$F$2:$F$225,B427)</f>
        <v>46296.8497337963</v>
      </c>
      <c r="G427" s="6" t="n">
        <f aca="false">F427+E427</f>
        <v>46296.8502546296</v>
      </c>
      <c r="H427" s="24" t="str">
        <f aca="false">IF(INDEX('Running Order'!$B$2:$B$225,B427)="Y","on air","dropped")</f>
        <v>on air</v>
      </c>
      <c r="I427" s="24" t="str">
        <f aca="false">IF(F427&lt;Summary!$B$4+1,"yes","")</f>
        <v/>
      </c>
    </row>
    <row r="428" customFormat="false" ht="15" hidden="false" customHeight="false" outlineLevel="0" collapsed="false">
      <c r="A428" s="24" t="n">
        <f aca="false">INT((ROW()-2)/Summary!$B$8)+1</f>
        <v>2</v>
      </c>
      <c r="B428" s="24" t="n">
        <f aca="false">MOD(ROW()-2,Summary!$B$8)+1</f>
        <v>203</v>
      </c>
      <c r="C428" s="24" t="str">
        <f aca="false">INDEX('Running Order'!$C$2:$C$225,B428)</f>
        <v>Kivo Hot Pepper Commercial</v>
      </c>
      <c r="D428" s="24" t="str">
        <f aca="false">INDEX('Running Order'!$D$2:$D$225,B428)</f>
        <v>Commercial</v>
      </c>
      <c r="E428" s="5" t="n">
        <f aca="false">IF(INDEX('Running Order'!$B$2:$B$225,B428)="Y",INDEX('Running Order'!$E$2:$E$225,B428),0)</f>
        <v>0.000520833333333333</v>
      </c>
      <c r="F428" s="6" t="n">
        <f aca="false">(A428-1)*Summary!$B$5+INDEX('Running Order'!$F$2:$F$225,B428)</f>
        <v>46296.8502546296</v>
      </c>
      <c r="G428" s="6" t="n">
        <f aca="false">F428+E428</f>
        <v>46296.850775463</v>
      </c>
      <c r="H428" s="24" t="str">
        <f aca="false">IF(INDEX('Running Order'!$B$2:$B$225,B428)="Y","on air","dropped")</f>
        <v>on air</v>
      </c>
      <c r="I428" s="24" t="str">
        <f aca="false">IF(F428&lt;Summary!$B$4+1,"yes","")</f>
        <v/>
      </c>
    </row>
    <row r="429" customFormat="false" ht="15" hidden="false" customHeight="false" outlineLevel="0" collapsed="false">
      <c r="A429" s="24" t="n">
        <f aca="false">INT((ROW()-2)/Summary!$B$8)+1</f>
        <v>2</v>
      </c>
      <c r="B429" s="24" t="n">
        <f aca="false">MOD(ROW()-2,Summary!$B$8)+1</f>
        <v>204</v>
      </c>
      <c r="C429" s="24" t="str">
        <f aca="false">INDEX('Running Order'!$C$2:$C$225,B429)</f>
        <v>TATTASE TV STING</v>
      </c>
      <c r="D429" s="24" t="str">
        <f aca="false">INDEX('Running Order'!$D$2:$D$225,B429)</f>
        <v>Sting</v>
      </c>
      <c r="E429" s="5" t="n">
        <f aca="false">IF(INDEX('Running Order'!$B$2:$B$225,B429)="Y",INDEX('Running Order'!$E$2:$E$225,B429),0)</f>
        <v>6.94444444444444E-005</v>
      </c>
      <c r="F429" s="6" t="n">
        <f aca="false">(A429-1)*Summary!$B$5+INDEX('Running Order'!$F$2:$F$225,B429)</f>
        <v>46296.850775463</v>
      </c>
      <c r="G429" s="6" t="n">
        <f aca="false">F429+E429</f>
        <v>46296.8508449074</v>
      </c>
      <c r="H429" s="24" t="str">
        <f aca="false">IF(INDEX('Running Order'!$B$2:$B$225,B429)="Y","on air","dropped")</f>
        <v>on air</v>
      </c>
      <c r="I429" s="24" t="str">
        <f aca="false">IF(F429&lt;Summary!$B$4+1,"yes","")</f>
        <v/>
      </c>
    </row>
    <row r="430" customFormat="false" ht="15" hidden="false" customHeight="false" outlineLevel="0" collapsed="false">
      <c r="A430" s="24" t="n">
        <f aca="false">INT((ROW()-2)/Summary!$B$8)+1</f>
        <v>2</v>
      </c>
      <c r="B430" s="24" t="n">
        <f aca="false">MOD(ROW()-2,Summary!$B$8)+1</f>
        <v>205</v>
      </c>
      <c r="C430" s="24" t="str">
        <f aca="false">INDEX('Running Order'!$C$2:$C$225,B430)</f>
        <v>KNORR CELEBRITY TAKEOUT SEASON 1 EPISODE 1</v>
      </c>
      <c r="D430" s="24" t="str">
        <f aca="false">INDEX('Running Order'!$D$2:$D$225,B430)</f>
        <v>Programme</v>
      </c>
      <c r="E430" s="5" t="n">
        <f aca="false">IF(INDEX('Running Order'!$B$2:$B$225,B430)="Y",INDEX('Running Order'!$E$2:$E$225,B430),0)</f>
        <v>0.0195023148148148</v>
      </c>
      <c r="F430" s="6" t="n">
        <f aca="false">(A430-1)*Summary!$B$5+INDEX('Running Order'!$F$2:$F$225,B430)</f>
        <v>46296.8508449074</v>
      </c>
      <c r="G430" s="6" t="n">
        <f aca="false">F430+E430</f>
        <v>46296.8703472222</v>
      </c>
      <c r="H430" s="24" t="str">
        <f aca="false">IF(INDEX('Running Order'!$B$2:$B$225,B430)="Y","on air","dropped")</f>
        <v>on air</v>
      </c>
      <c r="I430" s="24" t="str">
        <f aca="false">IF(F430&lt;Summary!$B$4+1,"yes","")</f>
        <v/>
      </c>
    </row>
    <row r="431" customFormat="false" ht="15" hidden="false" customHeight="false" outlineLevel="0" collapsed="false">
      <c r="A431" s="24" t="n">
        <f aca="false">INT((ROW()-2)/Summary!$B$8)+1</f>
        <v>2</v>
      </c>
      <c r="B431" s="24" t="n">
        <f aca="false">MOD(ROW()-2,Summary!$B$8)+1</f>
        <v>206</v>
      </c>
      <c r="C431" s="24" t="str">
        <f aca="false">INDEX('Running Order'!$C$2:$C$225,B431)</f>
        <v>TATTASE TV STING</v>
      </c>
      <c r="D431" s="24" t="str">
        <f aca="false">INDEX('Running Order'!$D$2:$D$225,B431)</f>
        <v>Sting</v>
      </c>
      <c r="E431" s="5" t="n">
        <f aca="false">IF(INDEX('Running Order'!$B$2:$B$225,B431)="Y",INDEX('Running Order'!$E$2:$E$225,B431),0)</f>
        <v>6.94444444444444E-005</v>
      </c>
      <c r="F431" s="6" t="n">
        <f aca="false">(A431-1)*Summary!$B$5+INDEX('Running Order'!$F$2:$F$225,B431)</f>
        <v>46296.8703472222</v>
      </c>
      <c r="G431" s="6" t="n">
        <f aca="false">F431+E431</f>
        <v>46296.8704166667</v>
      </c>
      <c r="H431" s="24" t="str">
        <f aca="false">IF(INDEX('Running Order'!$B$2:$B$225,B431)="Y","on air","dropped")</f>
        <v>on air</v>
      </c>
      <c r="I431" s="24" t="str">
        <f aca="false">IF(F431&lt;Summary!$B$4+1,"yes","")</f>
        <v/>
      </c>
    </row>
    <row r="432" customFormat="false" ht="15" hidden="false" customHeight="false" outlineLevel="0" collapsed="false">
      <c r="A432" s="24" t="n">
        <f aca="false">INT((ROW()-2)/Summary!$B$8)+1</f>
        <v>2</v>
      </c>
      <c r="B432" s="24" t="n">
        <f aca="false">MOD(ROW()-2,Summary!$B$8)+1</f>
        <v>207</v>
      </c>
      <c r="C432" s="24" t="str">
        <f aca="false">INDEX('Running Order'!$C$2:$C$225,B432)</f>
        <v>AFTER DARK COMING SOON</v>
      </c>
      <c r="D432" s="24" t="str">
        <f aca="false">INDEX('Running Order'!$D$2:$D$225,B432)</f>
        <v>Promo</v>
      </c>
      <c r="E432" s="5" t="n">
        <f aca="false">IF(INDEX('Running Order'!$B$2:$B$225,B432)="Y",INDEX('Running Order'!$E$2:$E$225,B432),0)</f>
        <v>0.000949074074074074</v>
      </c>
      <c r="F432" s="6" t="n">
        <f aca="false">(A432-1)*Summary!$B$5+INDEX('Running Order'!$F$2:$F$225,B432)</f>
        <v>46296.8704166667</v>
      </c>
      <c r="G432" s="6" t="n">
        <f aca="false">F432+E432</f>
        <v>46296.8713657407</v>
      </c>
      <c r="H432" s="24" t="str">
        <f aca="false">IF(INDEX('Running Order'!$B$2:$B$225,B432)="Y","on air","dropped")</f>
        <v>on air</v>
      </c>
      <c r="I432" s="24" t="str">
        <f aca="false">IF(F432&lt;Summary!$B$4+1,"yes","")</f>
        <v/>
      </c>
    </row>
    <row r="433" customFormat="false" ht="15" hidden="false" customHeight="false" outlineLevel="0" collapsed="false">
      <c r="A433" s="24" t="n">
        <f aca="false">INT((ROW()-2)/Summary!$B$8)+1</f>
        <v>2</v>
      </c>
      <c r="B433" s="24" t="n">
        <f aca="false">MOD(ROW()-2,Summary!$B$8)+1</f>
        <v>208</v>
      </c>
      <c r="C433" s="24" t="str">
        <f aca="false">INDEX('Running Order'!$C$2:$C$225,B433)</f>
        <v>HOTEL EXPO 2023 SHORT VIDEO FOR TV</v>
      </c>
      <c r="D433" s="24" t="str">
        <f aca="false">INDEX('Running Order'!$D$2:$D$225,B433)</f>
        <v>Short</v>
      </c>
      <c r="E433" s="5" t="n">
        <f aca="false">IF(INDEX('Running Order'!$B$2:$B$225,B433)="Y",INDEX('Running Order'!$E$2:$E$225,B433),0)</f>
        <v>0.00111111111111111</v>
      </c>
      <c r="F433" s="6" t="n">
        <f aca="false">(A433-1)*Summary!$B$5+INDEX('Running Order'!$F$2:$F$225,B433)</f>
        <v>46296.8713657407</v>
      </c>
      <c r="G433" s="6" t="n">
        <f aca="false">F433+E433</f>
        <v>46296.8724768519</v>
      </c>
      <c r="H433" s="24" t="str">
        <f aca="false">IF(INDEX('Running Order'!$B$2:$B$225,B433)="Y","on air","dropped")</f>
        <v>on air</v>
      </c>
      <c r="I433" s="24" t="str">
        <f aca="false">IF(F433&lt;Summary!$B$4+1,"yes","")</f>
        <v/>
      </c>
    </row>
    <row r="434" customFormat="false" ht="15" hidden="false" customHeight="false" outlineLevel="0" collapsed="false">
      <c r="A434" s="24" t="n">
        <f aca="false">INT((ROW()-2)/Summary!$B$8)+1</f>
        <v>2</v>
      </c>
      <c r="B434" s="24" t="n">
        <f aca="false">MOD(ROW()-2,Summary!$B$8)+1</f>
        <v>209</v>
      </c>
      <c r="C434" s="24" t="str">
        <f aca="false">INDEX('Running Order'!$C$2:$C$225,B434)</f>
        <v>CHANNEL MONTAGE</v>
      </c>
      <c r="D434" s="24" t="str">
        <f aca="false">INDEX('Running Order'!$D$2:$D$225,B434)</f>
        <v>Montage</v>
      </c>
      <c r="E434" s="5" t="n">
        <f aca="false">IF(INDEX('Running Order'!$B$2:$B$225,B434)="Y",INDEX('Running Order'!$E$2:$E$225,B434),0)</f>
        <v>0.000115740740740741</v>
      </c>
      <c r="F434" s="6" t="n">
        <f aca="false">(A434-1)*Summary!$B$5+INDEX('Running Order'!$F$2:$F$225,B434)</f>
        <v>46296.8724768519</v>
      </c>
      <c r="G434" s="6" t="n">
        <f aca="false">F434+E434</f>
        <v>46296.8725925926</v>
      </c>
      <c r="H434" s="24" t="str">
        <f aca="false">IF(INDEX('Running Order'!$B$2:$B$225,B434)="Y","on air","dropped")</f>
        <v>on air</v>
      </c>
      <c r="I434" s="24" t="str">
        <f aca="false">IF(F434&lt;Summary!$B$4+1,"yes","")</f>
        <v/>
      </c>
    </row>
    <row r="435" customFormat="false" ht="15" hidden="false" customHeight="false" outlineLevel="0" collapsed="false">
      <c r="A435" s="24" t="n">
        <f aca="false">INT((ROW()-2)/Summary!$B$8)+1</f>
        <v>2</v>
      </c>
      <c r="B435" s="24" t="n">
        <f aca="false">MOD(ROW()-2,Summary!$B$8)+1</f>
        <v>210</v>
      </c>
      <c r="C435" s="24" t="str">
        <f aca="false">INDEX('Running Order'!$C$2:$C$225,B435)</f>
        <v>BAKE THAT CAKE WITH DRIPPLES - S01E03 _ THE LION KING</v>
      </c>
      <c r="D435" s="24" t="str">
        <f aca="false">INDEX('Running Order'!$D$2:$D$225,B435)</f>
        <v>Programme</v>
      </c>
      <c r="E435" s="5" t="n">
        <f aca="false">IF(INDEX('Running Order'!$B$2:$B$225,B435)="Y",INDEX('Running Order'!$E$2:$E$225,B435),0)</f>
        <v>0.0171064814814815</v>
      </c>
      <c r="F435" s="6" t="n">
        <f aca="false">(A435-1)*Summary!$B$5+INDEX('Running Order'!$F$2:$F$225,B435)</f>
        <v>46296.8725925926</v>
      </c>
      <c r="G435" s="6" t="n">
        <f aca="false">F435+E435</f>
        <v>46296.8896990741</v>
      </c>
      <c r="H435" s="24" t="str">
        <f aca="false">IF(INDEX('Running Order'!$B$2:$B$225,B435)="Y","on air","dropped")</f>
        <v>on air</v>
      </c>
      <c r="I435" s="24" t="str">
        <f aca="false">IF(F435&lt;Summary!$B$4+1,"yes","")</f>
        <v/>
      </c>
    </row>
    <row r="436" customFormat="false" ht="15" hidden="false" customHeight="false" outlineLevel="0" collapsed="false">
      <c r="A436" s="24" t="n">
        <f aca="false">INT((ROW()-2)/Summary!$B$8)+1</f>
        <v>2</v>
      </c>
      <c r="B436" s="24" t="n">
        <f aca="false">MOD(ROW()-2,Summary!$B$8)+1</f>
        <v>211</v>
      </c>
      <c r="C436" s="24" t="str">
        <f aca="false">INDEX('Running Order'!$C$2:$C$225,B436)</f>
        <v>T ATTASE TV STING</v>
      </c>
      <c r="D436" s="24" t="str">
        <f aca="false">INDEX('Running Order'!$D$2:$D$225,B436)</f>
        <v>Sting</v>
      </c>
      <c r="E436" s="5" t="n">
        <f aca="false">IF(INDEX('Running Order'!$B$2:$B$225,B436)="Y",INDEX('Running Order'!$E$2:$E$225,B436),0)</f>
        <v>6.94444444444444E-005</v>
      </c>
      <c r="F436" s="6" t="n">
        <f aca="false">(A436-1)*Summary!$B$5+INDEX('Running Order'!$F$2:$F$225,B436)</f>
        <v>46296.8896990741</v>
      </c>
      <c r="G436" s="6" t="n">
        <f aca="false">F436+E436</f>
        <v>46296.8897685185</v>
      </c>
      <c r="H436" s="24" t="str">
        <f aca="false">IF(INDEX('Running Order'!$B$2:$B$225,B436)="Y","on air","dropped")</f>
        <v>on air</v>
      </c>
      <c r="I436" s="24" t="str">
        <f aca="false">IF(F436&lt;Summary!$B$4+1,"yes","")</f>
        <v/>
      </c>
    </row>
    <row r="437" customFormat="false" ht="15" hidden="false" customHeight="false" outlineLevel="0" collapsed="false">
      <c r="A437" s="24" t="n">
        <f aca="false">INT((ROW()-2)/Summary!$B$8)+1</f>
        <v>2</v>
      </c>
      <c r="B437" s="24" t="n">
        <f aca="false">MOD(ROW()-2,Summary!$B$8)+1</f>
        <v>212</v>
      </c>
      <c r="C437" s="24" t="str">
        <f aca="false">INDEX('Running Order'!$C$2:$C$225,B437)</f>
        <v>AJINOMOTO - TOMATO STEW N WHITE RICE</v>
      </c>
      <c r="D437" s="24" t="str">
        <f aca="false">INDEX('Running Order'!$D$2:$D$225,B437)</f>
        <v>Programme</v>
      </c>
      <c r="E437" s="5" t="n">
        <f aca="false">IF(INDEX('Running Order'!$B$2:$B$225,B437)="Y",INDEX('Running Order'!$E$2:$E$225,B437),0)</f>
        <v>0.00346064814814815</v>
      </c>
      <c r="F437" s="6" t="n">
        <f aca="false">(A437-1)*Summary!$B$5+INDEX('Running Order'!$F$2:$F$225,B437)</f>
        <v>46296.8897685185</v>
      </c>
      <c r="G437" s="6" t="n">
        <f aca="false">F437+E437</f>
        <v>46296.8932291667</v>
      </c>
      <c r="H437" s="24" t="str">
        <f aca="false">IF(INDEX('Running Order'!$B$2:$B$225,B437)="Y","on air","dropped")</f>
        <v>on air</v>
      </c>
      <c r="I437" s="24" t="str">
        <f aca="false">IF(F437&lt;Summary!$B$4+1,"yes","")</f>
        <v/>
      </c>
    </row>
    <row r="438" customFormat="false" ht="15" hidden="false" customHeight="false" outlineLevel="0" collapsed="false">
      <c r="A438" s="24" t="n">
        <f aca="false">INT((ROW()-2)/Summary!$B$8)+1</f>
        <v>2</v>
      </c>
      <c r="B438" s="24" t="n">
        <f aca="false">MOD(ROW()-2,Summary!$B$8)+1</f>
        <v>213</v>
      </c>
      <c r="C438" s="24" t="str">
        <f aca="false">INDEX('Running Order'!$C$2:$C$225,B438)</f>
        <v>SANKOFA NATURAL SPICES PROMO</v>
      </c>
      <c r="D438" s="24" t="str">
        <f aca="false">INDEX('Running Order'!$D$2:$D$225,B438)</f>
        <v>Promo</v>
      </c>
      <c r="E438" s="5" t="n">
        <f aca="false">IF(INDEX('Running Order'!$B$2:$B$225,B438)="Y",INDEX('Running Order'!$E$2:$E$225,B438),0)</f>
        <v>0.000694444444444445</v>
      </c>
      <c r="F438" s="6" t="n">
        <f aca="false">(A438-1)*Summary!$B$5+INDEX('Running Order'!$F$2:$F$225,B438)</f>
        <v>46296.8932291667</v>
      </c>
      <c r="G438" s="6" t="n">
        <f aca="false">F438+E438</f>
        <v>46296.8939236111</v>
      </c>
      <c r="H438" s="24" t="str">
        <f aca="false">IF(INDEX('Running Order'!$B$2:$B$225,B438)="Y","on air","dropped")</f>
        <v>on air</v>
      </c>
      <c r="I438" s="24" t="str">
        <f aca="false">IF(F438&lt;Summary!$B$4+1,"yes","")</f>
        <v/>
      </c>
    </row>
    <row r="439" customFormat="false" ht="15" hidden="false" customHeight="false" outlineLevel="0" collapsed="false">
      <c r="A439" s="24" t="n">
        <f aca="false">INT((ROW()-2)/Summary!$B$8)+1</f>
        <v>2</v>
      </c>
      <c r="B439" s="24" t="n">
        <f aca="false">MOD(ROW()-2,Summary!$B$8)+1</f>
        <v>214</v>
      </c>
      <c r="C439" s="24" t="str">
        <f aca="false">INDEX('Running Order'!$C$2:$C$225,B439)</f>
        <v>NASCO IWD</v>
      </c>
      <c r="D439" s="24" t="str">
        <f aca="false">INDEX('Running Order'!$D$2:$D$225,B439)</f>
        <v>Short</v>
      </c>
      <c r="E439" s="5" t="n">
        <f aca="false">IF(INDEX('Running Order'!$B$2:$B$225,B439)="Y",INDEX('Running Order'!$E$2:$E$225,B439),0)</f>
        <v>0.000740740740740741</v>
      </c>
      <c r="F439" s="6" t="n">
        <f aca="false">(A439-1)*Summary!$B$5+INDEX('Running Order'!$F$2:$F$225,B439)</f>
        <v>46296.8939236111</v>
      </c>
      <c r="G439" s="6" t="n">
        <f aca="false">F439+E439</f>
        <v>46296.8946643519</v>
      </c>
      <c r="H439" s="24" t="str">
        <f aca="false">IF(INDEX('Running Order'!$B$2:$B$225,B439)="Y","on air","dropped")</f>
        <v>on air</v>
      </c>
      <c r="I439" s="24" t="str">
        <f aca="false">IF(F439&lt;Summary!$B$4+1,"yes","")</f>
        <v/>
      </c>
    </row>
    <row r="440" customFormat="false" ht="15" hidden="false" customHeight="false" outlineLevel="0" collapsed="false">
      <c r="A440" s="24" t="n">
        <f aca="false">INT((ROW()-2)/Summary!$B$8)+1</f>
        <v>2</v>
      </c>
      <c r="B440" s="24" t="n">
        <f aca="false">MOD(ROW()-2,Summary!$B$8)+1</f>
        <v>215</v>
      </c>
      <c r="C440" s="24" t="str">
        <f aca="false">INDEX('Running Order'!$C$2:$C$225,B440)</f>
        <v>TATTASE TV STING</v>
      </c>
      <c r="D440" s="24" t="str">
        <f aca="false">INDEX('Running Order'!$D$2:$D$225,B440)</f>
        <v>Sting</v>
      </c>
      <c r="E440" s="5" t="n">
        <f aca="false">IF(INDEX('Running Order'!$B$2:$B$225,B440)="Y",INDEX('Running Order'!$E$2:$E$225,B440),0)</f>
        <v>6.94444444444444E-005</v>
      </c>
      <c r="F440" s="6" t="n">
        <f aca="false">(A440-1)*Summary!$B$5+INDEX('Running Order'!$F$2:$F$225,B440)</f>
        <v>46296.8946643519</v>
      </c>
      <c r="G440" s="6" t="n">
        <f aca="false">F440+E440</f>
        <v>46296.8947337963</v>
      </c>
      <c r="H440" s="24" t="str">
        <f aca="false">IF(INDEX('Running Order'!$B$2:$B$225,B440)="Y","on air","dropped")</f>
        <v>on air</v>
      </c>
      <c r="I440" s="24" t="str">
        <f aca="false">IF(F440&lt;Summary!$B$4+1,"yes","")</f>
        <v/>
      </c>
    </row>
    <row r="441" customFormat="false" ht="15" hidden="false" customHeight="false" outlineLevel="0" collapsed="false">
      <c r="A441" s="24" t="n">
        <f aca="false">INT((ROW()-2)/Summary!$B$8)+1</f>
        <v>2</v>
      </c>
      <c r="B441" s="24" t="n">
        <f aca="false">MOD(ROW()-2,Summary!$B$8)+1</f>
        <v>216</v>
      </c>
      <c r="C441" s="24" t="str">
        <f aca="false">INDEX('Running Order'!$C$2:$C$225,B441)</f>
        <v>Kings Dorm Season 2 Episode 1</v>
      </c>
      <c r="D441" s="24" t="str">
        <f aca="false">INDEX('Running Order'!$D$2:$D$225,B441)</f>
        <v>Programme</v>
      </c>
      <c r="E441" s="5" t="n">
        <f aca="false">IF(INDEX('Running Order'!$B$2:$B$225,B441)="Y",INDEX('Running Order'!$E$2:$E$225,B441),0)</f>
        <v>0.0208333333333333</v>
      </c>
      <c r="F441" s="6" t="n">
        <f aca="false">(A441-1)*Summary!$B$5+INDEX('Running Order'!$F$2:$F$225,B441)</f>
        <v>46296.8947337963</v>
      </c>
      <c r="G441" s="6" t="n">
        <f aca="false">F441+E441</f>
        <v>46296.9155671296</v>
      </c>
      <c r="H441" s="24" t="str">
        <f aca="false">IF(INDEX('Running Order'!$B$2:$B$225,B441)="Y","on air","dropped")</f>
        <v>on air</v>
      </c>
      <c r="I441" s="24" t="str">
        <f aca="false">IF(F441&lt;Summary!$B$4+1,"yes","")</f>
        <v/>
      </c>
    </row>
    <row r="442" customFormat="false" ht="15" hidden="false" customHeight="false" outlineLevel="0" collapsed="false">
      <c r="A442" s="24" t="n">
        <f aca="false">INT((ROW()-2)/Summary!$B$8)+1</f>
        <v>2</v>
      </c>
      <c r="B442" s="24" t="n">
        <f aca="false">MOD(ROW()-2,Summary!$B$8)+1</f>
        <v>217</v>
      </c>
      <c r="C442" s="24" t="str">
        <f aca="false">INDEX('Running Order'!$C$2:$C$225,B442)</f>
        <v>TATTASE TV STING</v>
      </c>
      <c r="D442" s="24" t="str">
        <f aca="false">INDEX('Running Order'!$D$2:$D$225,B442)</f>
        <v>Sting</v>
      </c>
      <c r="E442" s="5" t="n">
        <f aca="false">IF(INDEX('Running Order'!$B$2:$B$225,B442)="Y",INDEX('Running Order'!$E$2:$E$225,B442),0)</f>
        <v>6.94444444444444E-005</v>
      </c>
      <c r="F442" s="6" t="n">
        <f aca="false">(A442-1)*Summary!$B$5+INDEX('Running Order'!$F$2:$F$225,B442)</f>
        <v>46296.9155671296</v>
      </c>
      <c r="G442" s="6" t="n">
        <f aca="false">F442+E442</f>
        <v>46296.9156365741</v>
      </c>
      <c r="H442" s="24" t="str">
        <f aca="false">IF(INDEX('Running Order'!$B$2:$B$225,B442)="Y","on air","dropped")</f>
        <v>on air</v>
      </c>
      <c r="I442" s="24" t="str">
        <f aca="false">IF(F442&lt;Summary!$B$4+1,"yes","")</f>
        <v/>
      </c>
    </row>
    <row r="443" customFormat="false" ht="15" hidden="false" customHeight="false" outlineLevel="0" collapsed="false">
      <c r="A443" s="24" t="n">
        <f aca="false">INT((ROW()-2)/Summary!$B$8)+1</f>
        <v>2</v>
      </c>
      <c r="B443" s="24" t="n">
        <f aca="false">MOD(ROW()-2,Summary!$B$8)+1</f>
        <v>218</v>
      </c>
      <c r="C443" s="24" t="str">
        <f aca="false">INDEX('Running Order'!$C$2:$C$225,B443)</f>
        <v>SPAGHETTI QUICHE (Longer Version)</v>
      </c>
      <c r="D443" s="24" t="str">
        <f aca="false">INDEX('Running Order'!$D$2:$D$225,B443)</f>
        <v>Short</v>
      </c>
      <c r="E443" s="5" t="n">
        <f aca="false">IF(INDEX('Running Order'!$B$2:$B$225,B443)="Y",INDEX('Running Order'!$E$2:$E$225,B443),0)</f>
        <v>0.00190972222222222</v>
      </c>
      <c r="F443" s="6" t="n">
        <f aca="false">(A443-1)*Summary!$B$5+INDEX('Running Order'!$F$2:$F$225,B443)</f>
        <v>46296.9156365741</v>
      </c>
      <c r="G443" s="6" t="n">
        <f aca="false">F443+E443</f>
        <v>46296.9175462963</v>
      </c>
      <c r="H443" s="24" t="str">
        <f aca="false">IF(INDEX('Running Order'!$B$2:$B$225,B443)="Y","on air","dropped")</f>
        <v>on air</v>
      </c>
      <c r="I443" s="24" t="str">
        <f aca="false">IF(F443&lt;Summary!$B$4+1,"yes","")</f>
        <v/>
      </c>
    </row>
    <row r="444" customFormat="false" ht="15" hidden="false" customHeight="false" outlineLevel="0" collapsed="false">
      <c r="A444" s="24" t="n">
        <f aca="false">INT((ROW()-2)/Summary!$B$8)+1</f>
        <v>2</v>
      </c>
      <c r="B444" s="24" t="n">
        <f aca="false">MOD(ROW()-2,Summary!$B$8)+1</f>
        <v>219</v>
      </c>
      <c r="C444" s="24" t="str">
        <f aca="false">INDEX('Running Order'!$C$2:$C$225,B444)</f>
        <v>Look What Naa Made With NutriDay Episode 3</v>
      </c>
      <c r="D444" s="24" t="str">
        <f aca="false">INDEX('Running Order'!$D$2:$D$225,B444)</f>
        <v>Short</v>
      </c>
      <c r="E444" s="5" t="n">
        <f aca="false">IF(INDEX('Running Order'!$B$2:$B$225,B444)="Y",INDEX('Running Order'!$E$2:$E$225,B444),0)</f>
        <v>0.00121527777777778</v>
      </c>
      <c r="F444" s="6" t="n">
        <f aca="false">(A444-1)*Summary!$B$5+INDEX('Running Order'!$F$2:$F$225,B444)</f>
        <v>46296.9175462963</v>
      </c>
      <c r="G444" s="6" t="n">
        <f aca="false">F444+E444</f>
        <v>46296.9187615741</v>
      </c>
      <c r="H444" s="24" t="str">
        <f aca="false">IF(INDEX('Running Order'!$B$2:$B$225,B444)="Y","on air","dropped")</f>
        <v>on air</v>
      </c>
      <c r="I444" s="24" t="str">
        <f aca="false">IF(F444&lt;Summary!$B$4+1,"yes","")</f>
        <v/>
      </c>
    </row>
    <row r="445" customFormat="false" ht="15" hidden="false" customHeight="false" outlineLevel="0" collapsed="false">
      <c r="A445" s="24" t="n">
        <f aca="false">INT((ROW()-2)/Summary!$B$8)+1</f>
        <v>2</v>
      </c>
      <c r="B445" s="24" t="n">
        <f aca="false">MOD(ROW()-2,Summary!$B$8)+1</f>
        <v>220</v>
      </c>
      <c r="C445" s="24" t="str">
        <f aca="false">INDEX('Running Order'!$C$2:$C$225,B445)</f>
        <v>CHANNEL MONTAGE</v>
      </c>
      <c r="D445" s="24" t="str">
        <f aca="false">INDEX('Running Order'!$D$2:$D$225,B445)</f>
        <v>Montage</v>
      </c>
      <c r="E445" s="5" t="n">
        <f aca="false">IF(INDEX('Running Order'!$B$2:$B$225,B445)="Y",INDEX('Running Order'!$E$2:$E$225,B445),0)</f>
        <v>0.000115740740740741</v>
      </c>
      <c r="F445" s="6" t="n">
        <f aca="false">(A445-1)*Summary!$B$5+INDEX('Running Order'!$F$2:$F$225,B445)</f>
        <v>46296.9187615741</v>
      </c>
      <c r="G445" s="6" t="n">
        <f aca="false">F445+E445</f>
        <v>46296.9188773148</v>
      </c>
      <c r="H445" s="24" t="str">
        <f aca="false">IF(INDEX('Running Order'!$B$2:$B$225,B445)="Y","on air","dropped")</f>
        <v>on air</v>
      </c>
      <c r="I445" s="24" t="str">
        <f aca="false">IF(F445&lt;Summary!$B$4+1,"yes","")</f>
        <v/>
      </c>
    </row>
    <row r="446" customFormat="false" ht="15" hidden="false" customHeight="false" outlineLevel="0" collapsed="false">
      <c r="A446" s="24" t="n">
        <f aca="false">INT((ROW()-2)/Summary!$B$8)+1</f>
        <v>2</v>
      </c>
      <c r="B446" s="24" t="n">
        <f aca="false">MOD(ROW()-2,Summary!$B$8)+1</f>
        <v>221</v>
      </c>
      <c r="C446" s="24" t="str">
        <f aca="false">INDEX('Running Order'!$C$2:$C$225,B446)</f>
        <v>How I Started My Make-up Brand - Giylah Sanda.</v>
      </c>
      <c r="D446" s="24" t="str">
        <f aca="false">INDEX('Running Order'!$D$2:$D$225,B446)</f>
        <v>Programme</v>
      </c>
      <c r="E446" s="5" t="n">
        <f aca="false">IF(INDEX('Running Order'!$B$2:$B$225,B446)="Y",INDEX('Running Order'!$E$2:$E$225,B446),0)</f>
        <v>0.00625</v>
      </c>
      <c r="F446" s="6" t="n">
        <f aca="false">(A446-1)*Summary!$B$5+INDEX('Running Order'!$F$2:$F$225,B446)</f>
        <v>46296.9188773148</v>
      </c>
      <c r="G446" s="6" t="n">
        <f aca="false">F446+E446</f>
        <v>46296.9251273148</v>
      </c>
      <c r="H446" s="24" t="str">
        <f aca="false">IF(INDEX('Running Order'!$B$2:$B$225,B446)="Y","on air","dropped")</f>
        <v>on air</v>
      </c>
      <c r="I446" s="24" t="str">
        <f aca="false">IF(F446&lt;Summary!$B$4+1,"yes","")</f>
        <v/>
      </c>
    </row>
    <row r="447" customFormat="false" ht="15" hidden="false" customHeight="false" outlineLevel="0" collapsed="false">
      <c r="A447" s="24" t="n">
        <f aca="false">INT((ROW()-2)/Summary!$B$8)+1</f>
        <v>2</v>
      </c>
      <c r="B447" s="24" t="n">
        <f aca="false">MOD(ROW()-2,Summary!$B$8)+1</f>
        <v>222</v>
      </c>
      <c r="C447" s="24" t="str">
        <f aca="false">INDEX('Running Order'!$C$2:$C$225,B447)</f>
        <v>Chu Nwakanmas Journey To Greatness</v>
      </c>
      <c r="D447" s="24" t="str">
        <f aca="false">INDEX('Running Order'!$D$2:$D$225,B447)</f>
        <v>Short</v>
      </c>
      <c r="E447" s="5" t="n">
        <f aca="false">IF(INDEX('Running Order'!$B$2:$B$225,B447)="Y",INDEX('Running Order'!$E$2:$E$225,B447),0)</f>
        <v>0.00144675925925926</v>
      </c>
      <c r="F447" s="6" t="n">
        <f aca="false">(A447-1)*Summary!$B$5+INDEX('Running Order'!$F$2:$F$225,B447)</f>
        <v>46296.9251273148</v>
      </c>
      <c r="G447" s="6" t="n">
        <f aca="false">F447+E447</f>
        <v>46296.9265740741</v>
      </c>
      <c r="H447" s="24" t="str">
        <f aca="false">IF(INDEX('Running Order'!$B$2:$B$225,B447)="Y","on air","dropped")</f>
        <v>on air</v>
      </c>
      <c r="I447" s="24" t="str">
        <f aca="false">IF(F447&lt;Summary!$B$4+1,"yes","")</f>
        <v/>
      </c>
    </row>
    <row r="448" customFormat="false" ht="15" hidden="false" customHeight="false" outlineLevel="0" collapsed="false">
      <c r="A448" s="24" t="n">
        <f aca="false">INT((ROW()-2)/Summary!$B$8)+1</f>
        <v>2</v>
      </c>
      <c r="B448" s="24" t="n">
        <f aca="false">MOD(ROW()-2,Summary!$B$8)+1</f>
        <v>223</v>
      </c>
      <c r="C448" s="24" t="str">
        <f aca="false">INDEX('Running Order'!$C$2:$C$225,B448)</f>
        <v>CELEB SHOUTOUT</v>
      </c>
      <c r="D448" s="24" t="str">
        <f aca="false">INDEX('Running Order'!$D$2:$D$225,B448)</f>
        <v>Short</v>
      </c>
      <c r="E448" s="5" t="n">
        <f aca="false">IF(INDEX('Running Order'!$B$2:$B$225,B448)="Y",INDEX('Running Order'!$E$2:$E$225,B448),0)</f>
        <v>0.00087962962962963</v>
      </c>
      <c r="F448" s="6" t="n">
        <f aca="false">(A448-1)*Summary!$B$5+INDEX('Running Order'!$F$2:$F$225,B448)</f>
        <v>46296.9265740741</v>
      </c>
      <c r="G448" s="6" t="n">
        <f aca="false">F448+E448</f>
        <v>46296.9274537037</v>
      </c>
      <c r="H448" s="24" t="str">
        <f aca="false">IF(INDEX('Running Order'!$B$2:$B$225,B448)="Y","on air","dropped")</f>
        <v>on air</v>
      </c>
      <c r="I448" s="24" t="str">
        <f aca="false">IF(F448&lt;Summary!$B$4+1,"yes","")</f>
        <v/>
      </c>
    </row>
    <row r="449" customFormat="false" ht="15" hidden="false" customHeight="false" outlineLevel="0" collapsed="false">
      <c r="A449" s="24" t="n">
        <f aca="false">INT((ROW()-2)/Summary!$B$8)+1</f>
        <v>2</v>
      </c>
      <c r="B449" s="24" t="n">
        <f aca="false">MOD(ROW()-2,Summary!$B$8)+1</f>
        <v>224</v>
      </c>
      <c r="C449" s="24" t="str">
        <f aca="false">INDEX('Running Order'!$C$2:$C$225,B449)</f>
        <v>CHANNEL MONTAGE</v>
      </c>
      <c r="D449" s="24" t="str">
        <f aca="false">INDEX('Running Order'!$D$2:$D$225,B449)</f>
        <v>Montage</v>
      </c>
      <c r="E449" s="5" t="n">
        <f aca="false">IF(INDEX('Running Order'!$B$2:$B$225,B449)="Y",INDEX('Running Order'!$E$2:$E$225,B449),0)</f>
        <v>0.000115740740740741</v>
      </c>
      <c r="F449" s="6" t="n">
        <f aca="false">(A449-1)*Summary!$B$5+INDEX('Running Order'!$F$2:$F$225,B449)</f>
        <v>46296.9274537037</v>
      </c>
      <c r="G449" s="6" t="n">
        <f aca="false">F449+E449</f>
        <v>46296.9275694444</v>
      </c>
      <c r="H449" s="24" t="str">
        <f aca="false">IF(INDEX('Running Order'!$B$2:$B$225,B449)="Y","on air","dropped")</f>
        <v>on air</v>
      </c>
      <c r="I449" s="24" t="str">
        <f aca="false">IF(F449&lt;Summary!$B$4+1,"yes","")</f>
        <v/>
      </c>
    </row>
    <row r="451" customFormat="false" ht="15" hidden="false" customHeight="false" outlineLevel="0" collapsed="false">
      <c r="A451" s="2" t="s">
        <v>436</v>
      </c>
    </row>
  </sheetData>
  <conditionalFormatting sqref="A2:I449">
    <cfRule type="expression" priority="2" aboveAverage="0" equalAverage="0" bottom="0" percent="0" rank="0" text="" dxfId="2">
      <formula>$I2=""</formula>
    </cfRule>
    <cfRule type="expression" priority="3" aboveAverage="0" equalAverage="0" bottom="0" percent="0" rank="0" text="" dxfId="3">
      <formula>$D2="Programme"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4" min="3" style="0" width="2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6" t="s">
        <v>437</v>
      </c>
      <c r="B1" s="16" t="s">
        <v>14</v>
      </c>
      <c r="C1" s="16" t="s">
        <v>38</v>
      </c>
      <c r="D1" s="16" t="s">
        <v>438</v>
      </c>
      <c r="E1" s="16" t="s">
        <v>439</v>
      </c>
      <c r="F1" s="16" t="s">
        <v>440</v>
      </c>
    </row>
    <row r="2" customFormat="false" ht="15" hidden="false" customHeight="false" outlineLevel="0" collapsed="false">
      <c r="A2" s="11" t="n">
        <v>1</v>
      </c>
      <c r="B2" s="11" t="str">
        <f aca="false">'Running Order'!C2</f>
        <v>ORIGINAL SHOWS UPDATED</v>
      </c>
      <c r="C2" s="6" t="n">
        <f aca="false">'Running Order'!F2</f>
        <v>46295.8472222222</v>
      </c>
      <c r="D2" s="6" t="n">
        <f aca="false">C3</f>
        <v>46295.8553240741</v>
      </c>
      <c r="E2" s="15" t="n">
        <f aca="false">ROUND((D2-C2)*1440,1)</f>
        <v>11.7</v>
      </c>
      <c r="F2" s="11" t="n">
        <f aca="false">'Running Order'!A2</f>
        <v>1</v>
      </c>
    </row>
    <row r="3" customFormat="false" ht="15" hidden="false" customHeight="false" outlineLevel="0" collapsed="false">
      <c r="A3" s="11" t="n">
        <v>2</v>
      </c>
      <c r="B3" s="11" t="str">
        <f aca="false">'Running Order'!C13</f>
        <v>10 FOODS TO CUT DOWN ON FOR A HEALTHY WEIGHT</v>
      </c>
      <c r="C3" s="6" t="n">
        <f aca="false">'Running Order'!F13</f>
        <v>46295.8553240741</v>
      </c>
      <c r="D3" s="6" t="n">
        <f aca="false">C4</f>
        <v>46295.8820833333</v>
      </c>
      <c r="E3" s="15" t="n">
        <f aca="false">ROUND((D3-C3)*1440,1)</f>
        <v>38.5</v>
      </c>
      <c r="F3" s="11" t="n">
        <f aca="false">'Running Order'!A13</f>
        <v>12</v>
      </c>
    </row>
    <row r="4" customFormat="false" ht="15" hidden="false" customHeight="false" outlineLevel="0" collapsed="false">
      <c r="A4" s="11" t="n">
        <v>3</v>
      </c>
      <c r="B4" s="11" t="str">
        <f aca="false">'Running Order'!C39</f>
        <v>AJINOMOTO EGG SAUCE AND BOILED YAM</v>
      </c>
      <c r="C4" s="6" t="n">
        <f aca="false">'Running Order'!F39</f>
        <v>46295.8820833333</v>
      </c>
      <c r="D4" s="6" t="n">
        <f aca="false">C5</f>
        <v>46295.8848958333</v>
      </c>
      <c r="E4" s="15" t="n">
        <f aca="false">ROUND((D4-C4)*1440,1)</f>
        <v>4.1</v>
      </c>
      <c r="F4" s="11" t="n">
        <f aca="false">'Running Order'!A39</f>
        <v>38</v>
      </c>
    </row>
    <row r="5" customFormat="false" ht="15" hidden="false" customHeight="false" outlineLevel="0" collapsed="false">
      <c r="A5" s="11" t="n">
        <v>4</v>
      </c>
      <c r="B5" s="11" t="str">
        <f aca="false">'Running Order'!C41</f>
        <v>THE TRUTH ABOUT NETWORK MARKETING NO-ONE TELLS YOU</v>
      </c>
      <c r="C5" s="6" t="n">
        <f aca="false">'Running Order'!F41</f>
        <v>46295.8848958333</v>
      </c>
      <c r="D5" s="6" t="n">
        <f aca="false">C6</f>
        <v>46295.8910532407</v>
      </c>
      <c r="E5" s="15" t="n">
        <f aca="false">ROUND((D5-C5)*1440,1)</f>
        <v>8.9</v>
      </c>
      <c r="F5" s="11" t="n">
        <f aca="false">'Running Order'!A41</f>
        <v>40</v>
      </c>
    </row>
    <row r="6" customFormat="false" ht="15" hidden="false" customHeight="false" outlineLevel="0" collapsed="false">
      <c r="A6" s="11" t="n">
        <v>5</v>
      </c>
      <c r="B6" s="11" t="str">
        <f aca="false">'Running Order'!C48</f>
        <v>10 FOODS TO CUT DOWN ON HEALTHY LIVING</v>
      </c>
      <c r="C6" s="6" t="n">
        <f aca="false">'Running Order'!F48</f>
        <v>46295.8910532407</v>
      </c>
      <c r="D6" s="6" t="n">
        <f aca="false">C7</f>
        <v>46295.9100810185</v>
      </c>
      <c r="E6" s="15" t="n">
        <f aca="false">ROUND((D6-C6)*1440,1)</f>
        <v>27.4</v>
      </c>
      <c r="F6" s="11" t="n">
        <f aca="false">'Running Order'!A48</f>
        <v>47</v>
      </c>
    </row>
    <row r="7" customFormat="false" ht="15" hidden="false" customHeight="false" outlineLevel="0" collapsed="false">
      <c r="A7" s="11" t="n">
        <v>6</v>
      </c>
      <c r="B7" s="11" t="str">
        <f aca="false">'Running Order'!C55</f>
        <v>GREEN FIELDS AFRICA LEKKI FARMS</v>
      </c>
      <c r="C7" s="6" t="n">
        <f aca="false">'Running Order'!F55</f>
        <v>46295.9100810185</v>
      </c>
      <c r="D7" s="6" t="n">
        <f aca="false">C8</f>
        <v>46295.9292592593</v>
      </c>
      <c r="E7" s="15" t="n">
        <f aca="false">ROUND((D7-C7)*1440,1)</f>
        <v>27.6</v>
      </c>
      <c r="F7" s="11" t="n">
        <f aca="false">'Running Order'!A55</f>
        <v>54</v>
      </c>
    </row>
    <row r="8" customFormat="false" ht="15" hidden="false" customHeight="false" outlineLevel="0" collapsed="false">
      <c r="A8" s="11" t="n">
        <v>7</v>
      </c>
      <c r="B8" s="11" t="str">
        <f aca="false">'Running Order'!C59</f>
        <v>OLAM ANIMAL FEEDS BUSINESS</v>
      </c>
      <c r="C8" s="6" t="n">
        <f aca="false">'Running Order'!F59</f>
        <v>46295.9292592593</v>
      </c>
      <c r="D8" s="6" t="n">
        <f aca="false">C9</f>
        <v>46295.9378819445</v>
      </c>
      <c r="E8" s="15" t="n">
        <f aca="false">ROUND((D8-C8)*1440,1)</f>
        <v>12.4</v>
      </c>
      <c r="F8" s="11" t="n">
        <f aca="false">'Running Order'!A59</f>
        <v>58</v>
      </c>
    </row>
    <row r="9" customFormat="false" ht="15" hidden="false" customHeight="false" outlineLevel="0" collapsed="false">
      <c r="A9" s="11" t="n">
        <v>8</v>
      </c>
      <c r="B9" s="11" t="str">
        <f aca="false">'Running Order'!C68</f>
        <v>BEST TIMES TO HAVE BREAKFAST, LUNCH &amp; DINNER</v>
      </c>
      <c r="C9" s="6" t="n">
        <f aca="false">'Running Order'!F68</f>
        <v>46295.9378819445</v>
      </c>
      <c r="D9" s="6" t="n">
        <f aca="false">C10</f>
        <v>46295.95625</v>
      </c>
      <c r="E9" s="15" t="n">
        <f aca="false">ROUND((D9-C9)*1440,1)</f>
        <v>26.5</v>
      </c>
      <c r="F9" s="11" t="n">
        <f aca="false">'Running Order'!A68</f>
        <v>67</v>
      </c>
    </row>
    <row r="10" customFormat="false" ht="15" hidden="false" customHeight="false" outlineLevel="0" collapsed="false">
      <c r="A10" s="11" t="n">
        <v>9</v>
      </c>
      <c r="B10" s="11" t="str">
        <f aca="false">'Running Order'!C75</f>
        <v>COOL KIDS CAN COOK</v>
      </c>
      <c r="C10" s="6" t="n">
        <f aca="false">'Running Order'!F75</f>
        <v>46295.95625</v>
      </c>
      <c r="D10" s="6" t="n">
        <f aca="false">C11</f>
        <v>46295.9659490741</v>
      </c>
      <c r="E10" s="15" t="n">
        <f aca="false">ROUND((D10-C10)*1440,1)</f>
        <v>14</v>
      </c>
      <c r="F10" s="11" t="n">
        <f aca="false">'Running Order'!A75</f>
        <v>74</v>
      </c>
    </row>
    <row r="11" customFormat="false" ht="15" hidden="false" customHeight="false" outlineLevel="0" collapsed="false">
      <c r="A11" s="11" t="n">
        <v>10</v>
      </c>
      <c r="B11" s="11" t="str">
        <f aca="false">'Running Order'!C84</f>
        <v>MAGGI OSETIGO EP1</v>
      </c>
      <c r="C11" s="6" t="n">
        <f aca="false">'Running Order'!F84</f>
        <v>46295.9659490741</v>
      </c>
      <c r="D11" s="6" t="n">
        <f aca="false">C12</f>
        <v>46295.9856944445</v>
      </c>
      <c r="E11" s="15" t="n">
        <f aca="false">ROUND((D11-C11)*1440,1)</f>
        <v>28.4</v>
      </c>
      <c r="F11" s="11" t="n">
        <f aca="false">'Running Order'!A84</f>
        <v>83</v>
      </c>
    </row>
    <row r="12" customFormat="false" ht="15" hidden="false" customHeight="false" outlineLevel="0" collapsed="false">
      <c r="A12" s="11" t="n">
        <v>11</v>
      </c>
      <c r="B12" s="11" t="str">
        <f aca="false">'Running Order'!C88</f>
        <v>AGRO FOOD DAY 1</v>
      </c>
      <c r="C12" s="6" t="n">
        <f aca="false">'Running Order'!F88</f>
        <v>46295.9856944445</v>
      </c>
      <c r="D12" s="6" t="n">
        <f aca="false">C13</f>
        <v>46296.0120486111</v>
      </c>
      <c r="E12" s="15" t="n">
        <f aca="false">ROUND((D12-C12)*1440,1)</f>
        <v>38</v>
      </c>
      <c r="F12" s="11" t="n">
        <f aca="false">'Running Order'!A88</f>
        <v>87</v>
      </c>
    </row>
    <row r="13" customFormat="false" ht="15" hidden="false" customHeight="false" outlineLevel="0" collapsed="false">
      <c r="A13" s="11" t="n">
        <v>12</v>
      </c>
      <c r="B13" s="11" t="str">
        <f aca="false">'Running Order'!C99</f>
        <v>BOLE FESTIVAL DAY ONE</v>
      </c>
      <c r="C13" s="6" t="n">
        <f aca="false">'Running Order'!F99</f>
        <v>46296.0120486111</v>
      </c>
      <c r="D13" s="6" t="n">
        <f aca="false">C14</f>
        <v>46296.029375</v>
      </c>
      <c r="E13" s="15" t="n">
        <f aca="false">ROUND((D13-C13)*1440,1)</f>
        <v>25</v>
      </c>
      <c r="F13" s="11" t="n">
        <f aca="false">'Running Order'!A99</f>
        <v>98</v>
      </c>
    </row>
    <row r="14" customFormat="false" ht="15" hidden="false" customHeight="false" outlineLevel="0" collapsed="false">
      <c r="A14" s="11" t="n">
        <v>13</v>
      </c>
      <c r="B14" s="11" t="str">
        <f aca="false">'Running Order'!C100</f>
        <v>CHEF ETTE</v>
      </c>
      <c r="C14" s="6" t="n">
        <f aca="false">'Running Order'!F100</f>
        <v>46296.029375</v>
      </c>
      <c r="D14" s="6" t="n">
        <f aca="false">C15</f>
        <v>46296.0341898148</v>
      </c>
      <c r="E14" s="15" t="n">
        <f aca="false">ROUND((D14-C14)*1440,1)</f>
        <v>6.9</v>
      </c>
      <c r="F14" s="11" t="n">
        <f aca="false">'Running Order'!A100</f>
        <v>99</v>
      </c>
    </row>
    <row r="15" customFormat="false" ht="15" hidden="false" customHeight="false" outlineLevel="0" collapsed="false">
      <c r="A15" s="11" t="n">
        <v>14</v>
      </c>
      <c r="B15" s="11" t="str">
        <f aca="false">'Running Order'!C105</f>
        <v>Ep 9 - BAKED PLANTAIN AND SCRAMBLED EGG</v>
      </c>
      <c r="C15" s="6" t="n">
        <f aca="false">'Running Order'!F105</f>
        <v>46296.0341898148</v>
      </c>
      <c r="D15" s="6" t="n">
        <f aca="false">C16</f>
        <v>46296.0497800926</v>
      </c>
      <c r="E15" s="15" t="n">
        <f aca="false">ROUND((D15-C15)*1440,1)</f>
        <v>22.5</v>
      </c>
      <c r="F15" s="11" t="n">
        <f aca="false">'Running Order'!A105</f>
        <v>104</v>
      </c>
    </row>
    <row r="16" customFormat="false" ht="15" hidden="false" customHeight="false" outlineLevel="0" collapsed="false">
      <c r="A16" s="11" t="n">
        <v>15</v>
      </c>
      <c r="B16" s="11" t="str">
        <f aca="false">'Running Order'!C114</f>
        <v>Olam Cocoa Ghana</v>
      </c>
      <c r="C16" s="6" t="n">
        <f aca="false">'Running Order'!F114</f>
        <v>46296.0497800926</v>
      </c>
      <c r="D16" s="6" t="n">
        <f aca="false">C17</f>
        <v>46296.0595717593</v>
      </c>
      <c r="E16" s="15" t="n">
        <f aca="false">ROUND((D16-C16)*1440,1)</f>
        <v>14.1</v>
      </c>
      <c r="F16" s="11" t="n">
        <f aca="false">'Running Order'!A114</f>
        <v>113</v>
      </c>
    </row>
    <row r="17" customFormat="false" ht="15" hidden="false" customHeight="false" outlineLevel="0" collapsed="false">
      <c r="A17" s="11" t="n">
        <v>16</v>
      </c>
      <c r="B17" s="11" t="str">
        <f aca="false">'Running Order'!C121</f>
        <v>CHEF EHIS FOR TV</v>
      </c>
      <c r="C17" s="6" t="n">
        <f aca="false">'Running Order'!F121</f>
        <v>46296.0595717593</v>
      </c>
      <c r="D17" s="6" t="n">
        <f aca="false">C18</f>
        <v>46296.0803703704</v>
      </c>
      <c r="E17" s="15" t="n">
        <f aca="false">ROUND((D17-C17)*1440,1)</f>
        <v>30</v>
      </c>
      <c r="F17" s="11" t="n">
        <f aca="false">'Running Order'!A121</f>
        <v>120</v>
      </c>
    </row>
    <row r="18" customFormat="false" ht="15" hidden="false" customHeight="false" outlineLevel="0" collapsed="false">
      <c r="A18" s="11" t="n">
        <v>17</v>
      </c>
      <c r="B18" s="11" t="str">
        <f aca="false">'Running Order'!C123</f>
        <v>Hilda Bacis inspiring NoLimits Story</v>
      </c>
      <c r="C18" s="6" t="n">
        <f aca="false">'Running Order'!F123</f>
        <v>46296.0803703704</v>
      </c>
      <c r="D18" s="6" t="n">
        <f aca="false">C19</f>
        <v>46296.0849189815</v>
      </c>
      <c r="E18" s="15" t="n">
        <f aca="false">ROUND((D18-C18)*1440,1)</f>
        <v>6.6</v>
      </c>
      <c r="F18" s="11" t="n">
        <f aca="false">'Running Order'!A123</f>
        <v>122</v>
      </c>
    </row>
    <row r="19" customFormat="false" ht="15" hidden="false" customHeight="false" outlineLevel="0" collapsed="false">
      <c r="A19" s="11" t="n">
        <v>18</v>
      </c>
      <c r="B19" s="11" t="str">
        <f aca="false">'Running Order'!C126</f>
        <v>PAPER PACKAGING COMP</v>
      </c>
      <c r="C19" s="6" t="n">
        <f aca="false">'Running Order'!F126</f>
        <v>46296.0849189815</v>
      </c>
      <c r="D19" s="6" t="n">
        <f aca="false">C20</f>
        <v>46296.0914814815</v>
      </c>
      <c r="E19" s="15" t="n">
        <f aca="false">ROUND((D19-C19)*1440,1)</f>
        <v>9.5</v>
      </c>
      <c r="F19" s="11" t="n">
        <f aca="false">'Running Order'!A126</f>
        <v>125</v>
      </c>
    </row>
    <row r="20" customFormat="false" ht="15" hidden="false" customHeight="false" outlineLevel="0" collapsed="false">
      <c r="A20" s="11" t="n">
        <v>19</v>
      </c>
      <c r="B20" s="11" t="str">
        <f aca="false">'Running Order'!C131</f>
        <v>Abenas Special Ebubuebunu Soup</v>
      </c>
      <c r="C20" s="6" t="n">
        <f aca="false">'Running Order'!F131</f>
        <v>46296.0914814815</v>
      </c>
      <c r="D20" s="6" t="n">
        <f aca="false">C21</f>
        <v>46296.0979050926</v>
      </c>
      <c r="E20" s="15" t="n">
        <f aca="false">ROUND((D20-C20)*1440,1)</f>
        <v>9.3</v>
      </c>
      <c r="F20" s="11" t="n">
        <f aca="false">'Running Order'!A131</f>
        <v>130</v>
      </c>
    </row>
    <row r="21" customFormat="false" ht="15" hidden="false" customHeight="false" outlineLevel="0" collapsed="false">
      <c r="A21" s="11" t="n">
        <v>20</v>
      </c>
      <c r="B21" s="11" t="str">
        <f aca="false">'Running Order'!C137</f>
        <v>HEN_FULL VIDEO FOR TV FINAL</v>
      </c>
      <c r="C21" s="6" t="n">
        <f aca="false">'Running Order'!F137</f>
        <v>46296.0979050926</v>
      </c>
      <c r="D21" s="6" t="n">
        <f aca="false">C22</f>
        <v>46296.1188310185</v>
      </c>
      <c r="E21" s="15" t="n">
        <f aca="false">ROUND((D21-C21)*1440,1)</f>
        <v>30.1</v>
      </c>
      <c r="F21" s="11" t="n">
        <f aca="false">'Running Order'!A137</f>
        <v>136</v>
      </c>
    </row>
    <row r="22" customFormat="false" ht="15" hidden="false" customHeight="false" outlineLevel="0" collapsed="false">
      <c r="A22" s="11" t="n">
        <v>21</v>
      </c>
      <c r="B22" s="11" t="str">
        <f aca="false">'Running Order'!C142</f>
        <v>PROPAK FOR TV</v>
      </c>
      <c r="C22" s="6" t="n">
        <f aca="false">'Running Order'!F142</f>
        <v>46296.1188310185</v>
      </c>
      <c r="D22" s="6" t="n">
        <f aca="false">C23</f>
        <v>46296.1440856482</v>
      </c>
      <c r="E22" s="15" t="n">
        <f aca="false">ROUND((D22-C22)*1440,1)</f>
        <v>36.4</v>
      </c>
      <c r="F22" s="11" t="n">
        <f aca="false">'Running Order'!A142</f>
        <v>141</v>
      </c>
    </row>
    <row r="23" customFormat="false" ht="15" hidden="false" customHeight="false" outlineLevel="0" collapsed="false">
      <c r="A23" s="11" t="n">
        <v>22</v>
      </c>
      <c r="B23" s="11" t="str">
        <f aca="false">'Running Order'!C148</f>
        <v>AGROFOOD DAY 1</v>
      </c>
      <c r="C23" s="6" t="n">
        <f aca="false">'Running Order'!F148</f>
        <v>46296.1440856482</v>
      </c>
      <c r="D23" s="6" t="n">
        <f aca="false">C24</f>
        <v>46296.1678356482</v>
      </c>
      <c r="E23" s="15" t="n">
        <f aca="false">ROUND((D23-C23)*1440,1)</f>
        <v>34.2</v>
      </c>
      <c r="F23" s="11" t="n">
        <f aca="false">'Running Order'!A148</f>
        <v>147</v>
      </c>
    </row>
    <row r="24" customFormat="false" ht="15" hidden="false" customHeight="false" outlineLevel="0" collapsed="false">
      <c r="A24" s="11" t="n">
        <v>23</v>
      </c>
      <c r="B24" s="11" t="str">
        <f aca="false">'Running Order'!C153</f>
        <v>ONGA GHANA COOKS SEASON 1 EPISODE 1</v>
      </c>
      <c r="C24" s="6" t="n">
        <f aca="false">'Running Order'!F153</f>
        <v>46296.1678356482</v>
      </c>
      <c r="D24" s="6" t="n">
        <f aca="false">C25</f>
        <v>46296.1887615741</v>
      </c>
      <c r="E24" s="15" t="n">
        <f aca="false">ROUND((D24-C24)*1440,1)</f>
        <v>30.1</v>
      </c>
      <c r="F24" s="11" t="n">
        <f aca="false">'Running Order'!A153</f>
        <v>152</v>
      </c>
    </row>
    <row r="25" customFormat="false" ht="15" hidden="false" customHeight="false" outlineLevel="0" collapsed="false">
      <c r="A25" s="11" t="n">
        <v>24</v>
      </c>
      <c r="B25" s="11" t="str">
        <f aca="false">'Running Order'!C155</f>
        <v>OSETIGO EP1</v>
      </c>
      <c r="C25" s="6" t="n">
        <f aca="false">'Running Order'!F155</f>
        <v>46296.1887615741</v>
      </c>
      <c r="D25" s="6" t="n">
        <f aca="false">C26</f>
        <v>46296.2080324074</v>
      </c>
      <c r="E25" s="15" t="n">
        <f aca="false">ROUND((D25-C25)*1440,1)</f>
        <v>27.8</v>
      </c>
      <c r="F25" s="11" t="n">
        <f aca="false">'Running Order'!A155</f>
        <v>154</v>
      </c>
    </row>
    <row r="26" customFormat="false" ht="15" hidden="false" customHeight="false" outlineLevel="0" collapsed="false">
      <c r="A26" s="11" t="n">
        <v>25</v>
      </c>
      <c r="B26" s="11" t="str">
        <f aca="false">'Running Order'!C157</f>
        <v>DJINEE AT HEMBADOON</v>
      </c>
      <c r="C26" s="6" t="n">
        <f aca="false">'Running Order'!F157</f>
        <v>46296.2080324074</v>
      </c>
      <c r="D26" s="6" t="n">
        <f aca="false">C27</f>
        <v>46296.2125578704</v>
      </c>
      <c r="E26" s="15" t="n">
        <f aca="false">ROUND((D26-C26)*1440,1)</f>
        <v>6.5</v>
      </c>
      <c r="F26" s="11" t="n">
        <f aca="false">'Running Order'!A157</f>
        <v>156</v>
      </c>
    </row>
    <row r="27" customFormat="false" ht="15" hidden="false" customHeight="false" outlineLevel="0" collapsed="false">
      <c r="A27" s="11" t="n">
        <v>26</v>
      </c>
      <c r="B27" s="11" t="str">
        <f aca="false">'Running Order'!C159</f>
        <v>PLANTAIN PEOPLE'S PARTY</v>
      </c>
      <c r="C27" s="6" t="n">
        <f aca="false">'Running Order'!F159</f>
        <v>46296.2125578704</v>
      </c>
      <c r="D27" s="6" t="n">
        <f aca="false">C28</f>
        <v>46296.2185300926</v>
      </c>
      <c r="E27" s="15" t="n">
        <f aca="false">ROUND((D27-C27)*1440,1)</f>
        <v>8.6</v>
      </c>
      <c r="F27" s="11" t="n">
        <f aca="false">'Running Order'!A159</f>
        <v>158</v>
      </c>
    </row>
    <row r="28" customFormat="false" ht="15" hidden="false" customHeight="false" outlineLevel="0" collapsed="false">
      <c r="A28" s="11" t="n">
        <v>27</v>
      </c>
      <c r="B28" s="11" t="str">
        <f aca="false">'Running Order'!C161</f>
        <v>SAUSAGE THREADED SPAGHETTI (LONGER VERSION)</v>
      </c>
      <c r="C28" s="6" t="n">
        <f aca="false">'Running Order'!F161</f>
        <v>46296.2185300926</v>
      </c>
      <c r="D28" s="6" t="n">
        <f aca="false">C29</f>
        <v>46296.2208796296</v>
      </c>
      <c r="E28" s="15" t="n">
        <f aca="false">ROUND((D28-C28)*1440,1)</f>
        <v>3.4</v>
      </c>
      <c r="F28" s="11" t="n">
        <f aca="false">'Running Order'!A161</f>
        <v>160</v>
      </c>
    </row>
    <row r="29" customFormat="false" ht="15" hidden="false" customHeight="false" outlineLevel="0" collapsed="false">
      <c r="A29" s="11" t="n">
        <v>28</v>
      </c>
      <c r="B29" s="11" t="str">
        <f aca="false">'Running Order'!C164</f>
        <v>SPICES OF LOVE Season1 Episode1 Welcome to the Neighbourhood</v>
      </c>
      <c r="C29" s="6" t="n">
        <f aca="false">'Running Order'!F164</f>
        <v>46296.2208796296</v>
      </c>
      <c r="D29" s="6" t="n">
        <f aca="false">C30</f>
        <v>46296.2278703704</v>
      </c>
      <c r="E29" s="15" t="n">
        <f aca="false">ROUND((D29-C29)*1440,1)</f>
        <v>10.1</v>
      </c>
      <c r="F29" s="11" t="n">
        <f aca="false">'Running Order'!A164</f>
        <v>163</v>
      </c>
    </row>
    <row r="30" customFormat="false" ht="15" hidden="false" customHeight="false" outlineLevel="0" collapsed="false">
      <c r="A30" s="11" t="n">
        <v>29</v>
      </c>
      <c r="B30" s="11" t="str">
        <f aca="false">'Running Order'!C171</f>
        <v>Fried Rice with Oven Roasted Fish and Moimoi AJINOMOTO 247 Episode11</v>
      </c>
      <c r="C30" s="6" t="n">
        <f aca="false">'Running Order'!F171</f>
        <v>46296.2278703704</v>
      </c>
      <c r="D30" s="6" t="n">
        <f aca="false">C31</f>
        <v>46296.2346296296</v>
      </c>
      <c r="E30" s="15" t="n">
        <f aca="false">ROUND((D30-C30)*1440,1)</f>
        <v>9.7</v>
      </c>
      <c r="F30" s="11" t="n">
        <f aca="false">'Running Order'!A171</f>
        <v>170</v>
      </c>
    </row>
    <row r="31" customFormat="false" ht="15" hidden="false" customHeight="false" outlineLevel="0" collapsed="false">
      <c r="A31" s="11" t="n">
        <v>30</v>
      </c>
      <c r="B31" s="11" t="str">
        <f aca="false">'Running Order'!C176</f>
        <v>DRONE 9JA PLASTPRINTPACK</v>
      </c>
      <c r="C31" s="6" t="n">
        <f aca="false">'Running Order'!F176</f>
        <v>46296.2346296296</v>
      </c>
      <c r="D31" s="6" t="n">
        <f aca="false">C32</f>
        <v>46296.2400694444</v>
      </c>
      <c r="E31" s="15" t="n">
        <f aca="false">ROUND((D31-C31)*1440,1)</f>
        <v>7.8</v>
      </c>
      <c r="F31" s="11" t="n">
        <f aca="false">'Running Order'!A176</f>
        <v>175</v>
      </c>
    </row>
    <row r="32" customFormat="false" ht="15" hidden="false" customHeight="false" outlineLevel="0" collapsed="false">
      <c r="A32" s="11" t="n">
        <v>31</v>
      </c>
      <c r="B32" s="11" t="str">
        <f aca="false">'Running Order'!C179</f>
        <v>Maggi Diaries Season 3 Episode 2</v>
      </c>
      <c r="C32" s="6" t="n">
        <f aca="false">'Running Order'!F179</f>
        <v>46296.2400694444</v>
      </c>
      <c r="D32" s="6" t="n">
        <f aca="false">C33</f>
        <v>46296.2465162037</v>
      </c>
      <c r="E32" s="15" t="n">
        <f aca="false">ROUND((D32-C32)*1440,1)</f>
        <v>9.3</v>
      </c>
      <c r="F32" s="11" t="n">
        <f aca="false">'Running Order'!A179</f>
        <v>178</v>
      </c>
    </row>
    <row r="33" customFormat="false" ht="15" hidden="false" customHeight="false" outlineLevel="0" collapsed="false">
      <c r="A33" s="11" t="n">
        <v>32</v>
      </c>
      <c r="B33" s="11" t="str">
        <f aca="false">'Running Order'!C182</f>
        <v>GOODNESS KITCHEN WITH CHEF T</v>
      </c>
      <c r="C33" s="6" t="n">
        <f aca="false">'Running Order'!F182</f>
        <v>46296.2465162037</v>
      </c>
      <c r="D33" s="6" t="n">
        <f aca="false">C34</f>
        <v>46296.2657523148</v>
      </c>
      <c r="E33" s="15" t="n">
        <f aca="false">ROUND((D33-C33)*1440,1)</f>
        <v>27.7</v>
      </c>
      <c r="F33" s="11" t="n">
        <f aca="false">'Running Order'!A182</f>
        <v>181</v>
      </c>
    </row>
    <row r="34" customFormat="false" ht="15" hidden="false" customHeight="false" outlineLevel="0" collapsed="false">
      <c r="A34" s="11" t="n">
        <v>33</v>
      </c>
      <c r="B34" s="11" t="str">
        <f aca="false">'Running Order'!C190</f>
        <v>DONE STREET FOOD TOUR MR ROLAND (ISLANDER BARBEQUE)</v>
      </c>
      <c r="C34" s="6" t="n">
        <f aca="false">'Running Order'!F190</f>
        <v>46296.2657523148</v>
      </c>
      <c r="D34" s="6" t="n">
        <f aca="false">C35</f>
        <v>46296.2710648148</v>
      </c>
      <c r="E34" s="15" t="n">
        <f aca="false">ROUND((D34-C34)*1440,1)</f>
        <v>7.7</v>
      </c>
      <c r="F34" s="11" t="n">
        <f aca="false">'Running Order'!A190</f>
        <v>189</v>
      </c>
    </row>
    <row r="35" customFormat="false" ht="15" hidden="false" customHeight="false" outlineLevel="0" collapsed="false">
      <c r="A35" s="11" t="n">
        <v>34</v>
      </c>
      <c r="B35" s="11" t="str">
        <f aca="false">'Running Order'!C193</f>
        <v>MERCYS MENU SEASON 2 EPISODE 1 TAAOOMA COCONUT NOODLES</v>
      </c>
      <c r="C35" s="6" t="n">
        <f aca="false">'Running Order'!F193</f>
        <v>46296.2710648148</v>
      </c>
      <c r="D35" s="6" t="n">
        <f aca="false">C36</f>
        <v>46296.2907523148</v>
      </c>
      <c r="E35" s="15" t="n">
        <f aca="false">ROUND((D35-C35)*1440,1)</f>
        <v>28.4</v>
      </c>
      <c r="F35" s="11" t="n">
        <f aca="false">'Running Order'!A193</f>
        <v>192</v>
      </c>
    </row>
    <row r="36" customFormat="false" ht="15" hidden="false" customHeight="false" outlineLevel="0" collapsed="false">
      <c r="A36" s="11" t="n">
        <v>35</v>
      </c>
      <c r="B36" s="11" t="str">
        <f aca="false">'Running Order'!C201</f>
        <v>AKWAABA DAY1</v>
      </c>
      <c r="C36" s="6" t="n">
        <f aca="false">'Running Order'!F201</f>
        <v>46296.2907523148</v>
      </c>
      <c r="D36" s="6" t="n">
        <f aca="false">C37</f>
        <v>46296.3106712963</v>
      </c>
      <c r="E36" s="15" t="n">
        <f aca="false">ROUND((D36-C36)*1440,1)</f>
        <v>28.7</v>
      </c>
      <c r="F36" s="11" t="n">
        <f aca="false">'Running Order'!A201</f>
        <v>200</v>
      </c>
    </row>
    <row r="37" customFormat="false" ht="15" hidden="false" customHeight="false" outlineLevel="0" collapsed="false">
      <c r="A37" s="11" t="n">
        <v>36</v>
      </c>
      <c r="B37" s="11" t="str">
        <f aca="false">'Running Order'!C206</f>
        <v>KNORR CELEBRITY TAKEOUT SEASON 1 EPISODE 1</v>
      </c>
      <c r="C37" s="6" t="n">
        <f aca="false">'Running Order'!F206</f>
        <v>46296.3106712963</v>
      </c>
      <c r="D37" s="6" t="n">
        <f aca="false">C38</f>
        <v>46296.3324189815</v>
      </c>
      <c r="E37" s="15" t="n">
        <f aca="false">ROUND((D37-C37)*1440,1)</f>
        <v>31.3</v>
      </c>
      <c r="F37" s="11" t="n">
        <f aca="false">'Running Order'!A206</f>
        <v>205</v>
      </c>
    </row>
    <row r="38" customFormat="false" ht="15" hidden="false" customHeight="false" outlineLevel="0" collapsed="false">
      <c r="A38" s="11" t="n">
        <v>37</v>
      </c>
      <c r="B38" s="11" t="str">
        <f aca="false">'Running Order'!C211</f>
        <v>BAKE THAT CAKE WITH DRIPPLES - S01E03 _ THE LION KING</v>
      </c>
      <c r="C38" s="6" t="n">
        <f aca="false">'Running Order'!F211</f>
        <v>46296.3324189815</v>
      </c>
      <c r="D38" s="6" t="n">
        <f aca="false">C39</f>
        <v>46296.3495949074</v>
      </c>
      <c r="E38" s="15" t="n">
        <f aca="false">ROUND((D38-C38)*1440,1)</f>
        <v>24.7</v>
      </c>
      <c r="F38" s="11" t="n">
        <f aca="false">'Running Order'!A211</f>
        <v>210</v>
      </c>
    </row>
    <row r="39" customFormat="false" ht="15" hidden="false" customHeight="false" outlineLevel="0" collapsed="false">
      <c r="A39" s="11" t="n">
        <v>38</v>
      </c>
      <c r="B39" s="11" t="str">
        <f aca="false">'Running Order'!C213</f>
        <v>AJINOMOTO - TOMATO STEW N WHITE RICE</v>
      </c>
      <c r="C39" s="6" t="n">
        <f aca="false">'Running Order'!F213</f>
        <v>46296.3495949074</v>
      </c>
      <c r="D39" s="6" t="n">
        <f aca="false">C40</f>
        <v>46296.3545601852</v>
      </c>
      <c r="E39" s="15" t="n">
        <f aca="false">ROUND((D39-C39)*1440,1)</f>
        <v>7.2</v>
      </c>
      <c r="F39" s="11" t="n">
        <f aca="false">'Running Order'!A213</f>
        <v>212</v>
      </c>
    </row>
    <row r="40" customFormat="false" ht="15" hidden="false" customHeight="false" outlineLevel="0" collapsed="false">
      <c r="A40" s="11" t="n">
        <v>39</v>
      </c>
      <c r="B40" s="11" t="str">
        <f aca="false">'Running Order'!C217</f>
        <v>Kings Dorm Season 2 Episode 1</v>
      </c>
      <c r="C40" s="6" t="n">
        <f aca="false">'Running Order'!F217</f>
        <v>46296.3545601852</v>
      </c>
      <c r="D40" s="6" t="n">
        <f aca="false">C41</f>
        <v>46296.3787037037</v>
      </c>
      <c r="E40" s="15" t="n">
        <f aca="false">ROUND((D40-C40)*1440,1)</f>
        <v>34.8</v>
      </c>
      <c r="F40" s="11" t="n">
        <f aca="false">'Running Order'!A217</f>
        <v>216</v>
      </c>
    </row>
    <row r="41" customFormat="false" ht="15" hidden="false" customHeight="false" outlineLevel="0" collapsed="false">
      <c r="A41" s="11" t="n">
        <v>40</v>
      </c>
      <c r="B41" s="11" t="str">
        <f aca="false">'Running Order'!C222</f>
        <v>How I Started My Make-up Brand - Giylah Sanda.</v>
      </c>
      <c r="C41" s="6" t="n">
        <f aca="false">'Running Order'!F222</f>
        <v>46296.3787037037</v>
      </c>
      <c r="D41" s="6" t="n">
        <f aca="false">Summary!$B$6</f>
        <v>46296.3873958333</v>
      </c>
      <c r="E41" s="15" t="n">
        <f aca="false">ROUND((D41-C41)*1440,1)</f>
        <v>12.5</v>
      </c>
      <c r="F41" s="11" t="n">
        <f aca="false">'Running Order'!A222</f>
        <v>221</v>
      </c>
    </row>
    <row r="43" customFormat="false" ht="15" hidden="false" customHeight="false" outlineLevel="0" collapsed="false">
      <c r="A43" s="2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30" hidden="false" customHeight="true" outlineLevel="0" collapsed="false">
      <c r="A1" s="16" t="s">
        <v>442</v>
      </c>
    </row>
    <row r="2" customFormat="false" ht="15" hidden="false" customHeight="false" outlineLevel="0" collapsed="false">
      <c r="A2" s="11" t="str">
        <f aca="false">IF('Running Order'!B2="Y",IF('Running Order'!K2="","MISSING URL: "&amp;'Running Order'!C2,'Running Order'!K2),"")</f>
        <v>MISSING URL: ORIGINAL SHOWS UPDATED</v>
      </c>
    </row>
    <row r="3" customFormat="false" ht="15" hidden="false" customHeight="false" outlineLevel="0" collapsed="false">
      <c r="A3" s="11" t="str">
        <f aca="false">IF('Running Order'!B3="Y",IF('Running Order'!K3="","MISSING URL: "&amp;'Running Order'!C3,'Running Order'!K3),"")</f>
        <v>MISSING URL: KIVO HOT PEPPER COMMERCIAL</v>
      </c>
    </row>
    <row r="4" customFormat="false" ht="15" hidden="false" customHeight="false" outlineLevel="0" collapsed="false">
      <c r="A4" s="11" t="str">
        <f aca="false">IF('Running Order'!B4="Y",IF('Running Order'!K4="","MISSING URL: "&amp;'Running Order'!C4,'Running Order'!K4),"")</f>
        <v>MISSING URL: COLGATE TOOTHPASTE</v>
      </c>
    </row>
    <row r="5" customFormat="false" ht="15" hidden="false" customHeight="false" outlineLevel="0" collapsed="false">
      <c r="A5" s="11" t="str">
        <f aca="false">IF('Running Order'!B5="Y",IF('Running Order'!K5="","MISSING URL: "&amp;'Running Order'!C5,'Running Order'!K5),"")</f>
        <v>MISSING URL: CHANNEL MONTAGE</v>
      </c>
    </row>
    <row r="6" customFormat="false" ht="15" hidden="false" customHeight="false" outlineLevel="0" collapsed="false">
      <c r="A6" s="11" t="str">
        <f aca="false">IF('Running Order'!B6="Y",IF('Running Order'!K6="","MISSING URL: "&amp;'Running Order'!C6,'Running Order'!K6),"")</f>
        <v>MISSING URL: SIX DELICIOUS STEPS OF ENJOYING A PLATE OF INDOMIE</v>
      </c>
    </row>
    <row r="7" customFormat="false" ht="15" hidden="false" customHeight="false" outlineLevel="0" collapsed="false">
      <c r="A7" s="11" t="str">
        <f aca="false">IF('Running Order'!B7="Y",IF('Running Order'!K7="","MISSING URL: "&amp;'Running Order'!C7,'Running Order'!K7),"")</f>
        <v>MISSING URL: GREEN FIELD AFRICA`COMING SOON</v>
      </c>
    </row>
    <row r="8" customFormat="false" ht="15" hidden="false" customHeight="false" outlineLevel="0" collapsed="false">
      <c r="A8" s="11" t="str">
        <f aca="false">IF('Running Order'!B8="Y",IF('Running Order'!K8="","MISSING URL: "&amp;'Running Order'!C8,'Running Order'!K8),"")</f>
        <v>MISSING URL: ADESUA AND VIVA</v>
      </c>
    </row>
    <row r="9" customFormat="false" ht="15" hidden="false" customHeight="false" outlineLevel="0" collapsed="false">
      <c r="A9" s="11" t="str">
        <f aca="false">IF('Running Order'!B9="Y",IF('Running Order'!K9="","MISSING URL: "&amp;'Running Order'!C9,'Running Order'!K9),"")</f>
        <v>MISSING URL: TATTASE TV COFFEE STING</v>
      </c>
    </row>
    <row r="10" customFormat="false" ht="15" hidden="false" customHeight="false" outlineLevel="0" collapsed="false">
      <c r="A10" s="11" t="str">
        <f aca="false">IF('Running Order'!B10="Y",IF('Running Order'!K10="","MISSING URL: "&amp;'Running Order'!C10,'Running Order'!K10),"")</f>
        <v>MISSING URL: TASTE OF GHANA</v>
      </c>
    </row>
    <row r="11" customFormat="false" ht="15" hidden="false" customHeight="false" outlineLevel="0" collapsed="false">
      <c r="A11" s="11" t="str">
        <f aca="false">IF('Running Order'!B11="Y",IF('Running Order'!K11="","MISSING URL: "&amp;'Running Order'!C11,'Running Order'!K11),"")</f>
        <v>MISSING URL: BUKAS AND JOINT</v>
      </c>
    </row>
    <row r="12" customFormat="false" ht="15" hidden="false" customHeight="false" outlineLevel="0" collapsed="false">
      <c r="A12" s="11" t="str">
        <f aca="false">IF('Running Order'!B12="Y",IF('Running Order'!K12="","MISSING URL: "&amp;'Running Order'!C12,'Running Order'!K12),"")</f>
        <v>MISSING URL: Tattasetv sting</v>
      </c>
    </row>
    <row r="13" customFormat="false" ht="15" hidden="false" customHeight="false" outlineLevel="0" collapsed="false">
      <c r="A13" s="11" t="str">
        <f aca="false">IF('Running Order'!B13="Y",IF('Running Order'!K13="","MISSING URL: "&amp;'Running Order'!C13,'Running Order'!K13),"")</f>
        <v>MISSING URL: 10 FOODS TO CUT DOWN ON FOR A HEALTHY WEIGHT</v>
      </c>
    </row>
    <row r="14" customFormat="false" ht="15" hidden="false" customHeight="false" outlineLevel="0" collapsed="false">
      <c r="A14" s="11" t="str">
        <f aca="false">IF('Running Order'!B14="Y",IF('Running Order'!K14="","MISSING URL: "&amp;'Running Order'!C14,'Running Order'!K14),"")</f>
        <v>MISSING URL: CLOSE UP FOR TV COMMERCIALS</v>
      </c>
    </row>
    <row r="15" customFormat="false" ht="15" hidden="false" customHeight="false" outlineLevel="0" collapsed="false">
      <c r="A15" s="11" t="str">
        <f aca="false">IF('Running Order'!B15="Y",IF('Running Order'!K15="","MISSING URL: "&amp;'Running Order'!C15,'Running Order'!K15),"")</f>
        <v>MISSING URL: KNOR GOOD JOLLOF</v>
      </c>
    </row>
    <row r="16" customFormat="false" ht="15" hidden="false" customHeight="false" outlineLevel="0" collapsed="false">
      <c r="A16" s="11" t="str">
        <f aca="false">IF('Running Order'!B16="Y",IF('Running Order'!K16="","MISSING URL: "&amp;'Running Order'!C16,'Running Order'!K16),"")</f>
        <v>MISSING URL: CHANNEL MONTAGE</v>
      </c>
    </row>
    <row r="17" customFormat="false" ht="15" hidden="false" customHeight="false" outlineLevel="0" collapsed="false">
      <c r="A17" s="11" t="str">
        <f aca="false">IF('Running Order'!B17="Y",IF('Running Order'!K17="","MISSING URL: "&amp;'Running Order'!C17,'Running Order'!K17),"")</f>
        <v>MISSING URL: BREAKFAST AFRICA</v>
      </c>
    </row>
    <row r="18" customFormat="false" ht="15" hidden="false" customHeight="false" outlineLevel="0" collapsed="false">
      <c r="A18" s="11" t="str">
        <f aca="false">IF('Running Order'!B18="Y",IF('Running Order'!K18="","MISSING URL: "&amp;'Running Order'!C18,'Running Order'!K18),"")</f>
        <v>MISSING URL: FOOD TOURS</v>
      </c>
    </row>
    <row r="19" customFormat="false" ht="15" hidden="false" customHeight="false" outlineLevel="0" collapsed="false">
      <c r="A19" s="11" t="str">
        <f aca="false">IF('Running Order'!B19="Y",IF('Running Order'!K19="","MISSING URL: "&amp;'Running Order'!C19,'Running Order'!K19),"")</f>
        <v>MISSING URL: FOOD FARM FOR TV</v>
      </c>
    </row>
    <row r="20" customFormat="false" ht="15" hidden="false" customHeight="false" outlineLevel="0" collapsed="false">
      <c r="A20" s="11" t="str">
        <f aca="false">IF('Running Order'!B20="Y",IF('Running Order'!K20="","MISSING URL: "&amp;'Running Order'!C20,'Running Order'!K20),"")</f>
        <v>MISSING URL: AFTER DARK COMING SOON</v>
      </c>
    </row>
    <row r="21" customFormat="false" ht="15" hidden="false" customHeight="false" outlineLevel="0" collapsed="false">
      <c r="A21" s="11" t="str">
        <f aca="false">IF('Running Order'!B21="Y",IF('Running Order'!K21="","MISSING URL: "&amp;'Running Order'!C21,'Running Order'!K21),"")</f>
        <v>MISSING URL: ARIEL DETERGENT COMMERCIAL</v>
      </c>
    </row>
    <row r="22" customFormat="false" ht="15" hidden="false" customHeight="false" outlineLevel="0" collapsed="false">
      <c r="A22" s="11" t="str">
        <f aca="false">IF('Running Order'!B22="Y",IF('Running Order'!K22="","MISSING URL: "&amp;'Running Order'!C22,'Running Order'!K22),"")</f>
        <v>MISSING URL: malta ramadan parsley yam balls</v>
      </c>
    </row>
    <row r="23" customFormat="false" ht="15" hidden="false" customHeight="false" outlineLevel="0" collapsed="false">
      <c r="A23" s="11" t="str">
        <f aca="false">IF('Running Order'!B23="Y",IF('Running Order'!K23="","MISSING URL: "&amp;'Running Order'!C23,'Running Order'!K23),"")</f>
        <v>MISSING URL: CHANNEL MONTAGE</v>
      </c>
    </row>
    <row r="24" customFormat="false" ht="15" hidden="false" customHeight="false" outlineLevel="0" collapsed="false">
      <c r="A24" s="11" t="str">
        <f aca="false">IF('Running Order'!B24="Y",IF('Running Order'!K24="","MISSING URL: "&amp;'Running Order'!C24,'Running Order'!K24),"")</f>
        <v>MISSING URL: LIPTON FLAVOUR</v>
      </c>
    </row>
    <row r="25" customFormat="false" ht="15" hidden="false" customHeight="false" outlineLevel="0" collapsed="false">
      <c r="A25" s="11" t="str">
        <f aca="false">IF('Running Order'!B25="Y",IF('Running Order'!K25="","MISSING URL: "&amp;'Running Order'!C25,'Running Order'!K25),"")</f>
        <v>MISSING URL: CROWN PASTA SPAG BOLOG</v>
      </c>
    </row>
    <row r="26" customFormat="false" ht="15" hidden="false" customHeight="false" outlineLevel="0" collapsed="false">
      <c r="A26" s="11" t="str">
        <f aca="false">IF('Running Order'!B26="Y",IF('Running Order'!K26="","MISSING URL: "&amp;'Running Order'!C26,'Running Order'!K26),"")</f>
        <v>MISSING URL: TATTASE CHIPS STING</v>
      </c>
    </row>
    <row r="27" customFormat="false" ht="15" hidden="false" customHeight="false" outlineLevel="0" collapsed="false">
      <c r="A27" s="11" t="str">
        <f aca="false">IF('Running Order'!B27="Y",IF('Running Order'!K27="","MISSING URL: "&amp;'Running Order'!C27,'Running Order'!K27),"")</f>
        <v>MISSING URL: ABUJA NYSC CAMP</v>
      </c>
    </row>
    <row r="28" customFormat="false" ht="15" hidden="false" customHeight="false" outlineLevel="0" collapsed="false">
      <c r="A28" s="11" t="str">
        <f aca="false">IF('Running Order'!B28="Y",IF('Running Order'!K28="","MISSING URL: "&amp;'Running Order'!C28,'Running Order'!K28),"")</f>
        <v>MISSING URL: FAB FOR TV</v>
      </c>
    </row>
    <row r="29" customFormat="false" ht="15" hidden="false" customHeight="false" outlineLevel="0" collapsed="false">
      <c r="A29" s="11" t="str">
        <f aca="false">IF('Running Order'!B29="Y",IF('Running Order'!K29="","MISSING URL: "&amp;'Running Order'!C29,'Running Order'!K29),"")</f>
        <v>MISSING URL: Tattasetv sting</v>
      </c>
    </row>
    <row r="30" customFormat="false" ht="15" hidden="false" customHeight="false" outlineLevel="0" collapsed="false">
      <c r="A30" s="11" t="str">
        <f aca="false">IF('Running Order'!B30="Y",IF('Running Order'!K30="","MISSING URL: "&amp;'Running Order'!C30,'Running Order'!K30),"")</f>
        <v>MISSING URL: LUNCH BOX COMING SOON</v>
      </c>
    </row>
    <row r="31" customFormat="false" ht="15" hidden="false" customHeight="false" outlineLevel="0" collapsed="false">
      <c r="A31" s="11" t="str">
        <f aca="false">IF('Running Order'!B31="Y",IF('Running Order'!K31="","MISSING URL: "&amp;'Running Order'!C31,'Running Order'!K31),"")</f>
        <v>MISSING URL: BAKES N CAKES MONTAGE</v>
      </c>
    </row>
    <row r="32" customFormat="false" ht="15" hidden="false" customHeight="false" outlineLevel="0" collapsed="false">
      <c r="A32" s="11" t="str">
        <f aca="false">IF('Running Order'!B32="Y",IF('Running Order'!K32="","MISSING URL: "&amp;'Running Order'!C32,'Running Order'!K32),"")</f>
        <v>MISSING URL: GREEN FIELDS AFRICA COMING SOON</v>
      </c>
    </row>
    <row r="33" customFormat="false" ht="15" hidden="false" customHeight="false" outlineLevel="0" collapsed="false">
      <c r="A33" s="11" t="str">
        <f aca="false">IF('Running Order'!B33="Y",IF('Running Order'!K33="","MISSING URL: "&amp;'Running Order'!C33,'Running Order'!K33),"")</f>
        <v>MISSING URL: CHANNEL MONTAGE</v>
      </c>
    </row>
    <row r="34" customFormat="false" ht="15" hidden="false" customHeight="false" outlineLevel="0" collapsed="false">
      <c r="A34" s="11" t="str">
        <f aca="false">IF('Running Order'!B34="Y",IF('Running Order'!K34="","MISSING URL: "&amp;'Running Order'!C34,'Running Order'!K34),"")</f>
        <v>MISSING URL: COCACOLA RECIPE</v>
      </c>
    </row>
    <row r="35" customFormat="false" ht="15" hidden="false" customHeight="false" outlineLevel="0" collapsed="false">
      <c r="A35" s="11" t="str">
        <f aca="false">IF('Running Order'!B35="Y",IF('Running Order'!K35="","MISSING URL: "&amp;'Running Order'!C35,'Running Order'!K35),"")</f>
        <v>MISSING URL: URBAN KITCHEN SHOW NEW</v>
      </c>
    </row>
    <row r="36" customFormat="false" ht="15" hidden="false" customHeight="false" outlineLevel="0" collapsed="false">
      <c r="A36" s="11" t="str">
        <f aca="false">IF('Running Order'!B36="Y",IF('Running Order'!K36="","MISSING URL: "&amp;'Running Order'!C36,'Running Order'!K36),"")</f>
        <v>MISSING URL: VEGAN DIARIES REAL</v>
      </c>
    </row>
    <row r="37" customFormat="false" ht="15" hidden="false" customHeight="false" outlineLevel="0" collapsed="false">
      <c r="A37" s="11" t="str">
        <f aca="false">IF('Running Order'!B37="Y",IF('Running Order'!K37="","MISSING URL: "&amp;'Running Order'!C37,'Running Order'!K37),"")</f>
        <v>MISSING URL: FOOD MART</v>
      </c>
    </row>
    <row r="38" customFormat="false" ht="15" hidden="false" customHeight="false" outlineLevel="0" collapsed="false">
      <c r="A38" s="11" t="str">
        <f aca="false">IF('Running Order'!B38="Y",IF('Running Order'!K38="","MISSING URL: "&amp;'Running Order'!C38,'Running Order'!K38),"")</f>
        <v>MISSING URL: TATTASE COFFEE STINGS</v>
      </c>
    </row>
    <row r="39" customFormat="false" ht="15" hidden="false" customHeight="false" outlineLevel="0" collapsed="false">
      <c r="A39" s="11" t="str">
        <f aca="false">IF('Running Order'!B39="Y",IF('Running Order'!K39="","MISSING URL: "&amp;'Running Order'!C39,'Running Order'!K39),"")</f>
        <v>MISSING URL: AJINOMOTO EGG SAUCE AND BOILED YAM</v>
      </c>
    </row>
    <row r="40" customFormat="false" ht="15" hidden="false" customHeight="false" outlineLevel="0" collapsed="false">
      <c r="A40" s="11" t="str">
        <f aca="false">IF('Running Order'!B40="Y",IF('Running Order'!K40="","MISSING URL: "&amp;'Running Order'!C40,'Running Order'!K40),"")</f>
        <v>MISSING URL: Tattasetv sting</v>
      </c>
    </row>
    <row r="41" customFormat="false" ht="15" hidden="false" customHeight="false" outlineLevel="0" collapsed="false">
      <c r="A41" s="11" t="str">
        <f aca="false">IF('Running Order'!B41="Y",IF('Running Order'!K41="","MISSING URL: "&amp;'Running Order'!C41,'Running Order'!K41),"")</f>
        <v>MISSING URL: THE TRUTH ABOUT NETWORK MARKETING NO-ONE TELLS YOU</v>
      </c>
    </row>
    <row r="42" customFormat="false" ht="15" hidden="false" customHeight="false" outlineLevel="0" collapsed="false">
      <c r="A42" s="11" t="str">
        <f aca="false">IF('Running Order'!B42="Y",IF('Running Order'!K42="","MISSING URL: "&amp;'Running Order'!C42,'Running Order'!K42),"")</f>
        <v>MISSING URL: BOLEFEST X MALTA GUINESS TV</v>
      </c>
    </row>
    <row r="43" customFormat="false" ht="15" hidden="false" customHeight="false" outlineLevel="0" collapsed="false">
      <c r="A43" s="11" t="str">
        <f aca="false">IF('Running Order'!B43="Y",IF('Running Order'!K43="","MISSING URL: "&amp;'Running Order'!C43,'Running Order'!K43),"")</f>
        <v>MISSING URL: BAKERACE TV</v>
      </c>
    </row>
    <row r="44" customFormat="false" ht="15" hidden="false" customHeight="false" outlineLevel="0" collapsed="false">
      <c r="A44" s="11" t="str">
        <f aca="false">IF('Running Order'!B44="Y",IF('Running Order'!K44="","MISSING URL: "&amp;'Running Order'!C44,'Running Order'!K44),"")</f>
        <v>MISSING URL: RECIPE AFRICA</v>
      </c>
    </row>
    <row r="45" customFormat="false" ht="15" hidden="false" customHeight="false" outlineLevel="0" collapsed="false">
      <c r="A45" s="11" t="str">
        <f aca="false">IF('Running Order'!B45="Y",IF('Running Order'!K45="","MISSING URL: "&amp;'Running Order'!C45,'Running Order'!K45),"")</f>
        <v>MISSING URL: CHANNEL MONTAGE</v>
      </c>
    </row>
    <row r="46" customFormat="false" ht="15" hidden="false" customHeight="false" outlineLevel="0" collapsed="false">
      <c r="A46" s="11" t="str">
        <f aca="false">IF('Running Order'!B46="Y",IF('Running Order'!K46="","MISSING URL: "&amp;'Running Order'!C46,'Running Order'!K46),"")</f>
        <v>MISSING URL: ORAL B COMMERCIAL VIDEO</v>
      </c>
    </row>
    <row r="47" customFormat="false" ht="15" hidden="false" customHeight="false" outlineLevel="0" collapsed="false">
      <c r="A47" s="11" t="str">
        <f aca="false">IF('Running Order'!B47="Y",IF('Running Order'!K47="","MISSING URL: "&amp;'Running Order'!C47,'Running Order'!K47),"")</f>
        <v>MISSING URL: CHANNEL MONTAGE</v>
      </c>
    </row>
    <row r="48" customFormat="false" ht="15" hidden="false" customHeight="false" outlineLevel="0" collapsed="false">
      <c r="A48" s="11" t="str">
        <f aca="false">IF('Running Order'!B48="Y",IF('Running Order'!K48="","MISSING URL: "&amp;'Running Order'!C48,'Running Order'!K48),"")</f>
        <v>MISSING URL: 10 FOODS TO CUT DOWN ON HEALTHY LIVING</v>
      </c>
    </row>
    <row r="49" customFormat="false" ht="15" hidden="false" customHeight="false" outlineLevel="0" collapsed="false">
      <c r="A49" s="11" t="str">
        <f aca="false">IF('Running Order'!B49="Y",IF('Running Order'!K49="","MISSING URL: "&amp;'Running Order'!C49,'Running Order'!K49),"")</f>
        <v>MISSING URL: TATTASE TV STING</v>
      </c>
    </row>
    <row r="50" customFormat="false" ht="15" hidden="false" customHeight="false" outlineLevel="0" collapsed="false">
      <c r="A50" s="11" t="str">
        <f aca="false">IF('Running Order'!B50="Y",IF('Running Order'!K50="","MISSING URL: "&amp;'Running Order'!C50,'Running Order'!K50),"")</f>
        <v>MISSING URL: KIVO VIDEO</v>
      </c>
    </row>
    <row r="51" customFormat="false" ht="15" hidden="false" customHeight="false" outlineLevel="0" collapsed="false">
      <c r="A51" s="11" t="str">
        <f aca="false">IF('Running Order'!B51="Y",IF('Running Order'!K51="","MISSING URL: "&amp;'Running Order'!C51,'Running Order'!K51),"")</f>
        <v>MISSING URL: NEW AND IMPROVED GINO MAX CHICKEN</v>
      </c>
    </row>
    <row r="52" customFormat="false" ht="15" hidden="false" customHeight="false" outlineLevel="0" collapsed="false">
      <c r="A52" s="11" t="str">
        <f aca="false">IF('Running Order'!B52="Y",IF('Running Order'!K52="","MISSING URL: "&amp;'Running Order'!C52,'Running Order'!K52),"")</f>
        <v>MISSING URL: GOLDEN MOM</v>
      </c>
    </row>
    <row r="53" customFormat="false" ht="15" hidden="false" customHeight="false" outlineLevel="0" collapsed="false">
      <c r="A53" s="11" t="str">
        <f aca="false">IF('Running Order'!B53="Y",IF('Running Order'!K53="","MISSING URL: "&amp;'Running Order'!C53,'Running Order'!K53),"")</f>
        <v>MISSING URL: FOOD SHOUTOUTS</v>
      </c>
    </row>
    <row r="54" customFormat="false" ht="15" hidden="false" customHeight="false" outlineLevel="0" collapsed="false">
      <c r="A54" s="11" t="str">
        <f aca="false">IF('Running Order'!B54="Y",IF('Running Order'!K54="","MISSING URL: "&amp;'Running Order'!C54,'Running Order'!K54),"")</f>
        <v>MISSING URL: CHANNEL MONTAGE</v>
      </c>
    </row>
    <row r="55" customFormat="false" ht="15" hidden="false" customHeight="false" outlineLevel="0" collapsed="false">
      <c r="A55" s="11" t="str">
        <f aca="false">IF('Running Order'!B55="Y",IF('Running Order'!K55="","MISSING URL: "&amp;'Running Order'!C55,'Running Order'!K55),"")</f>
        <v>MISSING URL: GREEN FIELDS AFRICA LEKKI FARMS</v>
      </c>
    </row>
    <row r="56" customFormat="false" ht="15" hidden="false" customHeight="false" outlineLevel="0" collapsed="false">
      <c r="A56" s="11" t="str">
        <f aca="false">IF('Running Order'!B56="Y",IF('Running Order'!K56="","MISSING URL: "&amp;'Running Order'!C56,'Running Order'!K56),"")</f>
        <v>MISSING URL: TATTSETV COFFE STINGS</v>
      </c>
    </row>
    <row r="57" customFormat="false" ht="15" hidden="false" customHeight="false" outlineLevel="0" collapsed="false">
      <c r="A57" s="11" t="str">
        <f aca="false">IF('Running Order'!B57="Y",IF('Running Order'!K57="","MISSING URL: "&amp;'Running Order'!C57,'Running Order'!K57),"")</f>
        <v>MISSING URL: AMOR AND CUPID</v>
      </c>
    </row>
    <row r="58" customFormat="false" ht="15" hidden="false" customHeight="false" outlineLevel="0" collapsed="false">
      <c r="A58" s="11" t="str">
        <f aca="false">IF('Running Order'!B58="Y",IF('Running Order'!K58="","MISSING URL: "&amp;'Running Order'!C58,'Running Order'!K58),"")</f>
        <v>MISSING URL: KNOR JOLLOF FEST ABUJA</v>
      </c>
    </row>
    <row r="59" customFormat="false" ht="15" hidden="false" customHeight="false" outlineLevel="0" collapsed="false">
      <c r="A59" s="11" t="str">
        <f aca="false">IF('Running Order'!B59="Y",IF('Running Order'!K59="","MISSING URL: "&amp;'Running Order'!C59,'Running Order'!K59),"")</f>
        <v>MISSING URL: OLAM ANIMAL FEEDS BUSINESS</v>
      </c>
    </row>
    <row r="60" customFormat="false" ht="15" hidden="false" customHeight="false" outlineLevel="0" collapsed="false">
      <c r="A60" s="11" t="str">
        <f aca="false">IF('Running Order'!B60="Y",IF('Running Order'!K60="","MISSING URL: "&amp;'Running Order'!C60,'Running Order'!K60),"")</f>
        <v>MISSING URL: CHANNEL STINGS</v>
      </c>
    </row>
    <row r="61" customFormat="false" ht="15" hidden="false" customHeight="false" outlineLevel="0" collapsed="false">
      <c r="A61" s="11" t="str">
        <f aca="false">IF('Running Order'!B61="Y",IF('Running Order'!K61="","MISSING URL: "&amp;'Running Order'!C61,'Running Order'!K61),"")</f>
        <v>MISSING URL: ORAL B VALUE NEW</v>
      </c>
    </row>
    <row r="62" customFormat="false" ht="15" hidden="false" customHeight="false" outlineLevel="0" collapsed="false">
      <c r="A62" s="11" t="str">
        <f aca="false">IF('Running Order'!B62="Y",IF('Running Order'!K62="","MISSING URL: "&amp;'Running Order'!C62,'Running Order'!K62),"")</f>
        <v>MISSING URL: TERRA CUBE COMMERCIAL</v>
      </c>
    </row>
    <row r="63" customFormat="false" ht="15" hidden="false" customHeight="false" outlineLevel="0" collapsed="false">
      <c r="A63" s="11" t="str">
        <f aca="false">IF('Running Order'!B63="Y",IF('Running Order'!K63="","MISSING URL: "&amp;'Running Order'!C63,'Running Order'!K63),"")</f>
        <v>MISSING URL: CHANNEL MONTAGE</v>
      </c>
    </row>
    <row r="64" customFormat="false" ht="15" hidden="false" customHeight="false" outlineLevel="0" collapsed="false">
      <c r="A64" s="11" t="str">
        <f aca="false">IF('Running Order'!B64="Y",IF('Running Order'!K64="","MISSING URL: "&amp;'Running Order'!C64,'Running Order'!K64),"")</f>
        <v>MISSING URL: BREAKFAST AFRICA</v>
      </c>
    </row>
    <row r="65" customFormat="false" ht="15" hidden="false" customHeight="false" outlineLevel="0" collapsed="false">
      <c r="A65" s="11" t="str">
        <f aca="false">IF('Running Order'!B65="Y",IF('Running Order'!K65="","MISSING URL: "&amp;'Running Order'!C65,'Running Order'!K65),"")</f>
        <v>MISSING URL: LUNCH BOX COMING SOON</v>
      </c>
    </row>
    <row r="66" customFormat="false" ht="15" hidden="false" customHeight="false" outlineLevel="0" collapsed="false">
      <c r="A66" s="11" t="str">
        <f aca="false">IF('Running Order'!B66="Y",IF('Running Order'!K66="","MISSING URL: "&amp;'Running Order'!C66,'Running Order'!K66),"")</f>
        <v>MISSING URL: GTCO FOOD&amp;DRINK FOR TV3</v>
      </c>
    </row>
    <row r="67" customFormat="false" ht="15" hidden="false" customHeight="false" outlineLevel="0" collapsed="false">
      <c r="A67" s="11" t="str">
        <f aca="false">IF('Running Order'!B67="Y",IF('Running Order'!K67="","MISSING URL: "&amp;'Running Order'!C67,'Running Order'!K67),"")</f>
        <v>MISSING URL: TATTASE TV STING</v>
      </c>
    </row>
    <row r="68" customFormat="false" ht="15" hidden="false" customHeight="false" outlineLevel="0" collapsed="false">
      <c r="A68" s="11" t="str">
        <f aca="false">IF('Running Order'!B68="Y",IF('Running Order'!K68="","MISSING URL: "&amp;'Running Order'!C68,'Running Order'!K68),"")</f>
        <v>MISSING URL: BEST TIMES TO HAVE BREAKFAST, LUNCH &amp; DINNER</v>
      </c>
    </row>
    <row r="69" customFormat="false" ht="15" hidden="false" customHeight="false" outlineLevel="0" collapsed="false">
      <c r="A69" s="11" t="str">
        <f aca="false">IF('Running Order'!B69="Y",IF('Running Order'!K69="","MISSING URL: "&amp;'Running Order'!C69,'Running Order'!K69),"")</f>
        <v>MISSING URL: HALAL EXPO FOR TV</v>
      </c>
    </row>
    <row r="70" customFormat="false" ht="15" hidden="false" customHeight="false" outlineLevel="0" collapsed="false">
      <c r="A70" s="11" t="str">
        <f aca="false">IF('Running Order'!B70="Y",IF('Running Order'!K70="","MISSING URL: "&amp;'Running Order'!C70,'Running Order'!K70),"")</f>
        <v>MISSING URL: CHANNEL MONTAGE</v>
      </c>
    </row>
    <row r="71" customFormat="false" ht="15" hidden="false" customHeight="false" outlineLevel="0" collapsed="false">
      <c r="A71" s="11" t="str">
        <f aca="false">IF('Running Order'!B71="Y",IF('Running Order'!K71="","MISSING URL: "&amp;'Running Order'!C71,'Running Order'!K71),"")</f>
        <v>MISSING URL: DANO N HILDA COMMERCIAL</v>
      </c>
    </row>
    <row r="72" customFormat="false" ht="15" hidden="false" customHeight="false" outlineLevel="0" collapsed="false">
      <c r="A72" s="11" t="str">
        <f aca="false">IF('Running Order'!B72="Y",IF('Running Order'!K72="","MISSING URL: "&amp;'Running Order'!C72,'Running Order'!K72),"")</f>
        <v>MISSING URL: COCA-COLA RECPE FOR WONDER</v>
      </c>
    </row>
    <row r="73" customFormat="false" ht="15" hidden="false" customHeight="false" outlineLevel="0" collapsed="false">
      <c r="A73" s="11" t="str">
        <f aca="false">IF('Running Order'!B73="Y",IF('Running Order'!K73="","MISSING URL: "&amp;'Running Order'!C73,'Running Order'!K73),"")</f>
        <v>MISSING URL: FOOD MARTS</v>
      </c>
    </row>
    <row r="74" customFormat="false" ht="15" hidden="false" customHeight="false" outlineLevel="0" collapsed="false">
      <c r="A74" s="11" t="str">
        <f aca="false">IF('Running Order'!B74="Y",IF('Running Order'!K74="","MISSING URL: "&amp;'Running Order'!C74,'Running Order'!K74),"")</f>
        <v>MISSING URL: TATTASE TV STING</v>
      </c>
    </row>
    <row r="75" customFormat="false" ht="15" hidden="false" customHeight="false" outlineLevel="0" collapsed="false">
      <c r="A75" s="11" t="str">
        <f aca="false">IF('Running Order'!B75="Y",IF('Running Order'!K75="","MISSING URL: "&amp;'Running Order'!C75,'Running Order'!K75),"")</f>
        <v>MISSING URL: COOL KIDS CAN COOK</v>
      </c>
    </row>
    <row r="76" customFormat="false" ht="15" hidden="false" customHeight="false" outlineLevel="0" collapsed="false">
      <c r="A76" s="11" t="str">
        <f aca="false">IF('Running Order'!B76="Y",IF('Running Order'!K76="","MISSING URL: "&amp;'Running Order'!C76,'Running Order'!K76),"")</f>
        <v>MISSING URL: SHAYO AFRICA</v>
      </c>
    </row>
    <row r="77" customFormat="false" ht="15" hidden="false" customHeight="false" outlineLevel="0" collapsed="false">
      <c r="A77" s="11" t="str">
        <f aca="false">IF('Running Order'!B77="Y",IF('Running Order'!K77="","MISSING URL: "&amp;'Running Order'!C77,'Running Order'!K77),"")</f>
        <v>MISSING URL: FOODPRENEUR</v>
      </c>
    </row>
    <row r="78" customFormat="false" ht="15" hidden="false" customHeight="false" outlineLevel="0" collapsed="false">
      <c r="A78" s="11" t="str">
        <f aca="false">IF('Running Order'!B78="Y",IF('Running Order'!K78="","MISSING URL: "&amp;'Running Order'!C78,'Running Order'!K78),"")</f>
        <v>MISSING URL: TATTASETV COFFEE STING</v>
      </c>
    </row>
    <row r="79" customFormat="false" ht="15" hidden="false" customHeight="false" outlineLevel="0" collapsed="false">
      <c r="A79" s="11" t="str">
        <f aca="false">IF('Running Order'!B79="Y",IF('Running Order'!K79="","MISSING URL: "&amp;'Running Order'!C79,'Running Order'!K79),"")</f>
        <v>MISSING URL: CHANNEL MONTAGE</v>
      </c>
    </row>
    <row r="80" customFormat="false" ht="15" hidden="false" customHeight="false" outlineLevel="0" collapsed="false">
      <c r="A80" s="11" t="str">
        <f aca="false">IF('Running Order'!B80="Y",IF('Running Order'!K80="","MISSING URL: "&amp;'Running Order'!C80,'Running Order'!K80),"")</f>
        <v>MISSING URL: HOW TO MAKE JOLLOF RICE THE NAIJA WAY</v>
      </c>
    </row>
    <row r="81" customFormat="false" ht="15" hidden="false" customHeight="false" outlineLevel="0" collapsed="false">
      <c r="A81" s="11" t="str">
        <f aca="false">IF('Running Order'!B81="Y",IF('Running Order'!K81="","MISSING URL: "&amp;'Running Order'!C81,'Running Order'!K81),"")</f>
        <v>MISSING URL: CHIVITA ADVERT</v>
      </c>
    </row>
    <row r="82" customFormat="false" ht="15" hidden="false" customHeight="false" outlineLevel="0" collapsed="false">
      <c r="A82" s="11" t="str">
        <f aca="false">IF('Running Order'!B82="Y",IF('Running Order'!K82="","MISSING URL: "&amp;'Running Order'!C82,'Running Order'!K82),"")</f>
        <v>MISSING URL: SALAD MASTER SET NO LOGO</v>
      </c>
    </row>
    <row r="83" customFormat="false" ht="15" hidden="false" customHeight="false" outlineLevel="0" collapsed="false">
      <c r="A83" s="11" t="str">
        <f aca="false">IF('Running Order'!B83="Y",IF('Running Order'!K83="","MISSING URL: "&amp;'Running Order'!C83,'Running Order'!K83),"")</f>
        <v>MISSING URL: TATTASE TV STING</v>
      </c>
    </row>
    <row r="84" customFormat="false" ht="15" hidden="false" customHeight="false" outlineLevel="0" collapsed="false">
      <c r="A84" s="11" t="str">
        <f aca="false">IF('Running Order'!B84="Y",IF('Running Order'!K84="","MISSING URL: "&amp;'Running Order'!C84,'Running Order'!K84),"")</f>
        <v>MISSING URL: MAGGI OSETIGO EP1</v>
      </c>
    </row>
    <row r="85" customFormat="false" ht="15" hidden="false" customHeight="false" outlineLevel="0" collapsed="false">
      <c r="A85" s="11" t="str">
        <f aca="false">IF('Running Order'!B85="Y",IF('Running Order'!K85="","MISSING URL: "&amp;'Running Order'!C85,'Running Order'!K85),"")</f>
        <v>MISSING URL: COKE STUDIO SCAN AND WIN</v>
      </c>
    </row>
    <row r="86" customFormat="false" ht="15" hidden="false" customHeight="false" outlineLevel="0" collapsed="false">
      <c r="A86" s="11" t="str">
        <f aca="false">IF('Running Order'!B86="Y",IF('Running Order'!K86="","MISSING URL: "&amp;'Running Order'!C86,'Running Order'!K86),"")</f>
        <v>MISSING URL: LIPTON ADVERTS</v>
      </c>
    </row>
    <row r="87" customFormat="false" ht="15" hidden="false" customHeight="false" outlineLevel="0" collapsed="false">
      <c r="A87" s="11" t="str">
        <f aca="false">IF('Running Order'!B87="Y",IF('Running Order'!K87="","MISSING URL: "&amp;'Running Order'!C87,'Running Order'!K87),"")</f>
        <v>MISSING URL: CHANNEL MONTAGE</v>
      </c>
    </row>
    <row r="88" customFormat="false" ht="15" hidden="false" customHeight="false" outlineLevel="0" collapsed="false">
      <c r="A88" s="11" t="str">
        <f aca="false">IF('Running Order'!B88="Y",IF('Running Order'!K88="","MISSING URL: "&amp;'Running Order'!C88,'Running Order'!K88),"")</f>
        <v>MISSING URL: AGRO FOOD DAY 1</v>
      </c>
    </row>
    <row r="89" customFormat="false" ht="15" hidden="false" customHeight="false" outlineLevel="0" collapsed="false">
      <c r="A89" s="11" t="str">
        <f aca="false">IF('Running Order'!B89="Y",IF('Running Order'!K89="","MISSING URL: "&amp;'Running Order'!C89,'Running Order'!K89),"")</f>
        <v>MISSING URL: ORAL B VALUE NEW</v>
      </c>
    </row>
    <row r="90" customFormat="false" ht="15" hidden="false" customHeight="false" outlineLevel="0" collapsed="false">
      <c r="A90" s="11" t="str">
        <f aca="false">IF('Running Order'!B90="Y",IF('Running Order'!K90="","MISSING URL: "&amp;'Running Order'!C90,'Running Order'!K90),"")</f>
        <v>MISSING URL: TERRA CUBE COMMERCIAL</v>
      </c>
    </row>
    <row r="91" customFormat="false" ht="15" hidden="false" customHeight="false" outlineLevel="0" collapsed="false">
      <c r="A91" s="11" t="str">
        <f aca="false">IF('Running Order'!B91="Y",IF('Running Order'!K91="","MISSING URL: "&amp;'Running Order'!C91,'Running Order'!K91),"")</f>
        <v>MISSING URL: TATTASE TV STING</v>
      </c>
    </row>
    <row r="92" customFormat="false" ht="15" hidden="false" customHeight="false" outlineLevel="0" collapsed="false">
      <c r="A92" s="11" t="str">
        <f aca="false">IF('Running Order'!B92="Y",IF('Running Order'!K92="","MISSING URL: "&amp;'Running Order'!C92,'Running Order'!K92),"")</f>
        <v>MISSING URL: URBAN KITCHEN SHOW NEW</v>
      </c>
    </row>
    <row r="93" customFormat="false" ht="15" hidden="false" customHeight="false" outlineLevel="0" collapsed="false">
      <c r="A93" s="11" t="str">
        <f aca="false">IF('Running Order'!B93="Y",IF('Running Order'!K93="","MISSING URL: "&amp;'Running Order'!C93,'Running Order'!K93),"")</f>
        <v>MISSING URL: ABUJA’S FINEST PLACES (AFP)</v>
      </c>
    </row>
    <row r="94" customFormat="false" ht="15" hidden="false" customHeight="false" outlineLevel="0" collapsed="false">
      <c r="A94" s="11" t="str">
        <f aca="false">IF('Running Order'!B94="Y",IF('Running Order'!K94="","MISSING URL: "&amp;'Running Order'!C94,'Running Order'!K94),"")</f>
        <v>MISSING URL: GUESS WHO’S COMING TO DINNER</v>
      </c>
    </row>
    <row r="95" customFormat="false" ht="15" hidden="false" customHeight="false" outlineLevel="0" collapsed="false">
      <c r="A95" s="11" t="str">
        <f aca="false">IF('Running Order'!B95="Y",IF('Running Order'!K95="","MISSING URL: "&amp;'Running Order'!C95,'Running Order'!K95),"")</f>
        <v>MISSING URL: CHANNEL MONTAGE</v>
      </c>
    </row>
    <row r="96" customFormat="false" ht="15" hidden="false" customHeight="false" outlineLevel="0" collapsed="false">
      <c r="A96" s="11" t="str">
        <f aca="false">IF('Running Order'!B96="Y",IF('Running Order'!K96="","MISSING URL: "&amp;'Running Order'!C96,'Running Order'!K96),"")</f>
        <v>MISSING URL: ARIEL DETERGENT COMMERCIAL</v>
      </c>
    </row>
    <row r="97" customFormat="false" ht="15" hidden="false" customHeight="false" outlineLevel="0" collapsed="false">
      <c r="A97" s="11" t="str">
        <f aca="false">IF('Running Order'!B97="Y",IF('Running Order'!K97="","MISSING URL: "&amp;'Running Order'!C97,'Running Order'!K97),"")</f>
        <v>MISSING URL: SCHWEPPS AT TIMELESS</v>
      </c>
    </row>
    <row r="98" customFormat="false" ht="15" hidden="false" customHeight="false" outlineLevel="0" collapsed="false">
      <c r="A98" s="11" t="str">
        <f aca="false">IF('Running Order'!B98="Y",IF('Running Order'!K98="","MISSING URL: "&amp;'Running Order'!C98,'Running Order'!K98),"")</f>
        <v>MISSING URL: TATTASE TV STING</v>
      </c>
    </row>
    <row r="99" customFormat="false" ht="15" hidden="false" customHeight="false" outlineLevel="0" collapsed="false">
      <c r="A99" s="11" t="str">
        <f aca="false">IF('Running Order'!B99="Y",IF('Running Order'!K99="","MISSING URL: "&amp;'Running Order'!C99,'Running Order'!K99),"")</f>
        <v>MISSING URL: BOLE FESTIVAL DAY ONE</v>
      </c>
    </row>
    <row r="100" customFormat="false" ht="15" hidden="false" customHeight="false" outlineLevel="0" collapsed="false">
      <c r="A100" s="11" t="str">
        <f aca="false">IF('Running Order'!B100="Y",IF('Running Order'!K100="","MISSING URL: "&amp;'Running Order'!C100,'Running Order'!K100),"")</f>
        <v>MISSING URL: CHEF ETTE</v>
      </c>
    </row>
    <row r="101" customFormat="false" ht="15" hidden="false" customHeight="false" outlineLevel="0" collapsed="false">
      <c r="A101" s="11" t="str">
        <f aca="false">IF('Running Order'!B101="Y",IF('Running Order'!K101="","MISSING URL: "&amp;'Running Order'!C101,'Running Order'!K101),"")</f>
        <v>MISSING URL: TATTASE TV STING</v>
      </c>
    </row>
    <row r="102" customFormat="false" ht="15" hidden="false" customHeight="false" outlineLevel="0" collapsed="false">
      <c r="A102" s="11" t="str">
        <f aca="false">IF('Running Order'!B102="Y",IF('Running Order'!K102="","MISSING URL: "&amp;'Running Order'!C102,'Running Order'!K102),"")</f>
        <v>MISSING URL: CALABAR FOOD WITH UYAI (NO BRAND) PROMO</v>
      </c>
    </row>
    <row r="103" customFormat="false" ht="15" hidden="false" customHeight="false" outlineLevel="0" collapsed="false">
      <c r="A103" s="11" t="str">
        <f aca="false">IF('Running Order'!B103="Y",IF('Running Order'!K103="","MISSING URL: "&amp;'Running Order'!C103,'Running Order'!K103),"")</f>
        <v>MISSING URL: Bake That Cake With Dripples __ Trailer</v>
      </c>
    </row>
    <row r="104" customFormat="false" ht="15" hidden="false" customHeight="false" outlineLevel="0" collapsed="false">
      <c r="A104" s="11" t="str">
        <f aca="false">IF('Running Order'!B104="Y",IF('Running Order'!K104="","MISSING URL: "&amp;'Running Order'!C104,'Running Order'!K104),"")</f>
        <v>MISSING URL: CHANNEL MONTAGE</v>
      </c>
    </row>
    <row r="105" customFormat="false" ht="15" hidden="false" customHeight="false" outlineLevel="0" collapsed="false">
      <c r="A105" s="11" t="str">
        <f aca="false">IF('Running Order'!B105="Y",IF('Running Order'!K105="","MISSING URL: "&amp;'Running Order'!C105,'Running Order'!K105),"")</f>
        <v>MISSING URL: Ep 9 - BAKED PLANTAIN AND SCRAMBLED EGG</v>
      </c>
    </row>
    <row r="106" customFormat="false" ht="15" hidden="false" customHeight="false" outlineLevel="0" collapsed="false">
      <c r="A106" s="11" t="str">
        <f aca="false">IF('Running Order'!B106="Y",IF('Running Order'!K106="","MISSING URL: "&amp;'Running Order'!C106,'Running Order'!K106),"")</f>
        <v>MISSING URL: KIVO HOT PEPPER COMMERCIAL</v>
      </c>
    </row>
    <row r="107" customFormat="false" ht="15" hidden="false" customHeight="false" outlineLevel="0" collapsed="false">
      <c r="A107" s="11" t="str">
        <f aca="false">IF('Running Order'!B107="Y",IF('Running Order'!K107="","MISSING URL: "&amp;'Running Order'!C107,'Running Order'!K107),"")</f>
        <v>MISSING URL: LUNCH BOX COMING SOON</v>
      </c>
    </row>
    <row r="108" customFormat="false" ht="15" hidden="false" customHeight="false" outlineLevel="0" collapsed="false">
      <c r="A108" s="11" t="str">
        <f aca="false">IF('Running Order'!B108="Y",IF('Running Order'!K108="","MISSING URL: "&amp;'Running Order'!C108,'Running Order'!K108),"")</f>
        <v>MISSING URL: TATTASE COFFEE STING</v>
      </c>
    </row>
    <row r="109" customFormat="false" ht="15" hidden="false" customHeight="false" outlineLevel="0" collapsed="false">
      <c r="A109" s="11" t="str">
        <f aca="false">IF('Running Order'!B109="Y",IF('Running Order'!K109="","MISSING URL: "&amp;'Running Order'!C109,'Running Order'!K109),"")</f>
        <v>MISSING URL: ABUJA NYSC CAMP LETS JOLLOF</v>
      </c>
    </row>
    <row r="110" customFormat="false" ht="15" hidden="false" customHeight="false" outlineLevel="0" collapsed="false">
      <c r="A110" s="11" t="str">
        <f aca="false">IF('Running Order'!B110="Y",IF('Running Order'!K110="","MISSING URL: "&amp;'Running Order'!C110,'Running Order'!K110),"")</f>
        <v>MISSING URL: FOODIE SHOUTOUTS</v>
      </c>
    </row>
    <row r="111" customFormat="false" ht="15" hidden="false" customHeight="false" outlineLevel="0" collapsed="false">
      <c r="A111" s="11" t="str">
        <f aca="false">IF('Running Order'!B111="Y",IF('Running Order'!K111="","MISSING URL: "&amp;'Running Order'!C111,'Running Order'!K111),"")</f>
        <v>MISSING URL: GTCO FOOD AND DRINKS TV6</v>
      </c>
    </row>
    <row r="112" customFormat="false" ht="15" hidden="false" customHeight="false" outlineLevel="0" collapsed="false">
      <c r="A112" s="11" t="str">
        <f aca="false">IF('Running Order'!B112="Y",IF('Running Order'!K112="","MISSING URL: "&amp;'Running Order'!C112,'Running Order'!K112),"")</f>
        <v>MISSING URL: TATTASE TV STING</v>
      </c>
    </row>
    <row r="113" customFormat="false" ht="15" hidden="false" customHeight="false" outlineLevel="0" collapsed="false">
      <c r="A113" s="11" t="str">
        <f aca="false">IF('Running Order'!B113="Y",IF('Running Order'!K113="","MISSING URL: "&amp;'Running Order'!C113,'Running Order'!K113),"")</f>
        <v>MISSING URL: CURRIED SPAGHETTI WITH SHREDDED BEEF by CHIOMA AKPOTHA</v>
      </c>
    </row>
    <row r="114" customFormat="false" ht="15" hidden="false" customHeight="false" outlineLevel="0" collapsed="false">
      <c r="A114" s="11" t="str">
        <f aca="false">IF('Running Order'!B114="Y",IF('Running Order'!K114="","MISSING URL: "&amp;'Running Order'!C114,'Running Order'!K114),"")</f>
        <v>MISSING URL: Olam Cocoa Ghana</v>
      </c>
    </row>
    <row r="115" customFormat="false" ht="15" hidden="false" customHeight="false" outlineLevel="0" collapsed="false">
      <c r="A115" s="11" t="str">
        <f aca="false">IF('Running Order'!B115="Y",IF('Running Order'!K115="","MISSING URL: "&amp;'Running Order'!C115,'Running Order'!K115),"")</f>
        <v>MISSING URL: TATTASE TV CHANNEL MONTAGE</v>
      </c>
    </row>
    <row r="116" customFormat="false" ht="15" hidden="false" customHeight="false" outlineLevel="0" collapsed="false">
      <c r="A116" s="11" t="str">
        <f aca="false">IF('Running Order'!B116="Y",IF('Running Order'!K116="","MISSING URL: "&amp;'Running Order'!C116,'Running Order'!K116),"")</f>
        <v>MISSING URL: Waffest day 2 beach hangout</v>
      </c>
    </row>
    <row r="117" customFormat="false" ht="15" hidden="false" customHeight="false" outlineLevel="0" collapsed="false">
      <c r="A117" s="11" t="str">
        <f aca="false">IF('Running Order'!B117="Y",IF('Running Order'!K117="","MISSING URL: "&amp;'Running Order'!C117,'Running Order'!K117),"")</f>
        <v>MISSING URL: BAKERACE TV</v>
      </c>
    </row>
    <row r="118" customFormat="false" ht="15" hidden="false" customHeight="false" outlineLevel="0" collapsed="false">
      <c r="A118" s="11" t="str">
        <f aca="false">IF('Running Order'!B118="Y",IF('Running Order'!K118="","MISSING URL: "&amp;'Running Order'!C118,'Running Order'!K118),"")</f>
        <v>MISSING URL: ADESUA VIVA COMMERCIAL</v>
      </c>
    </row>
    <row r="119" customFormat="false" ht="15" hidden="false" customHeight="false" outlineLevel="0" collapsed="false">
      <c r="A119" s="11" t="str">
        <f aca="false">IF('Running Order'!B119="Y",IF('Running Order'!K119="","MISSING URL: "&amp;'Running Order'!C119,'Running Order'!K119),"")</f>
        <v>MISSING URL: COCACOLA RECIPE WONDER</v>
      </c>
    </row>
    <row r="120" customFormat="false" ht="15" hidden="false" customHeight="false" outlineLevel="0" collapsed="false">
      <c r="A120" s="11" t="str">
        <f aca="false">IF('Running Order'!B120="Y",IF('Running Order'!K120="","MISSING URL: "&amp;'Running Order'!C120,'Running Order'!K120),"")</f>
        <v>MISSING URL: TATTASE TV STING</v>
      </c>
    </row>
    <row r="121" customFormat="false" ht="15" hidden="false" customHeight="false" outlineLevel="0" collapsed="false">
      <c r="A121" s="11" t="str">
        <f aca="false">IF('Running Order'!B121="Y",IF('Running Order'!K121="","MISSING URL: "&amp;'Running Order'!C121,'Running Order'!K121),"")</f>
        <v>MISSING URL: CHEF EHIS FOR TV</v>
      </c>
    </row>
    <row r="122" customFormat="false" ht="15" hidden="false" customHeight="false" outlineLevel="0" collapsed="false">
      <c r="A122" s="11" t="str">
        <f aca="false">IF('Running Order'!B122="Y",IF('Running Order'!K122="","MISSING URL: "&amp;'Running Order'!C122,'Running Order'!K122),"")</f>
        <v>MISSING URL: Coffee on work table sting</v>
      </c>
    </row>
    <row r="123" customFormat="false" ht="15" hidden="false" customHeight="false" outlineLevel="0" collapsed="false">
      <c r="A123" s="11" t="str">
        <f aca="false">IF('Running Order'!B123="Y",IF('Running Order'!K123="","MISSING URL: "&amp;'Running Order'!C123,'Running Order'!K123),"")</f>
        <v>MISSING URL: Hilda Bacis inspiring NoLimits Story</v>
      </c>
    </row>
    <row r="124" customFormat="false" ht="15" hidden="false" customHeight="false" outlineLevel="0" collapsed="false">
      <c r="A124" s="11" t="str">
        <f aca="false">IF('Running Order'!B124="Y",IF('Running Order'!K124="","MISSING URL: "&amp;'Running Order'!C124,'Running Order'!K124),"")</f>
        <v>MISSING URL: HOTEL EXPO 2023 DAY 1</v>
      </c>
    </row>
    <row r="125" customFormat="false" ht="15" hidden="false" customHeight="false" outlineLevel="0" collapsed="false">
      <c r="A125" s="11" t="str">
        <f aca="false">IF('Running Order'!B125="Y",IF('Running Order'!K125="","MISSING URL: "&amp;'Running Order'!C125,'Running Order'!K125),"")</f>
        <v>MISSING URL: CHANNEL MONTAGE</v>
      </c>
    </row>
    <row r="126" customFormat="false" ht="15" hidden="false" customHeight="false" outlineLevel="0" collapsed="false">
      <c r="A126" s="11" t="str">
        <f aca="false">IF('Running Order'!B126="Y",IF('Running Order'!K126="","MISSING URL: "&amp;'Running Order'!C126,'Running Order'!K126),"")</f>
        <v>MISSING URL: PAPER PACKAGING COMP</v>
      </c>
    </row>
    <row r="127" customFormat="false" ht="15" hidden="false" customHeight="false" outlineLevel="0" collapsed="false">
      <c r="A127" s="11" t="str">
        <f aca="false">IF('Running Order'!B127="Y",IF('Running Order'!K127="","MISSING URL: "&amp;'Running Order'!C127,'Running Order'!K127),"")</f>
        <v>MISSING URL: TATTASE TV STING</v>
      </c>
    </row>
    <row r="128" customFormat="false" ht="15" hidden="false" customHeight="false" outlineLevel="0" collapsed="false">
      <c r="A128" s="11" t="str">
        <f aca="false">IF('Running Order'!B128="Y",IF('Running Order'!K128="","MISSING URL: "&amp;'Running Order'!C128,'Running Order'!K128),"")</f>
        <v>MISSING URL: the new Ayoola Poundo Yam Packs</v>
      </c>
    </row>
    <row r="129" customFormat="false" ht="15" hidden="false" customHeight="false" outlineLevel="0" collapsed="false">
      <c r="A129" s="11" t="str">
        <f aca="false">IF('Running Order'!B129="Y",IF('Running Order'!K129="","MISSING URL: "&amp;'Running Order'!C129,'Running Order'!K129),"")</f>
        <v>MISSING URL: DANO N HILDA 2</v>
      </c>
    </row>
    <row r="130" customFormat="false" ht="15" hidden="false" customHeight="false" outlineLevel="0" collapsed="false">
      <c r="A130" s="11" t="str">
        <f aca="false">IF('Running Order'!B130="Y",IF('Running Order'!K130="","MISSING URL: "&amp;'Running Order'!C130,'Running Order'!K130),"")</f>
        <v>MISSING URL: Look What Naa Made With NutriDay Episode 2</v>
      </c>
    </row>
    <row r="131" customFormat="false" ht="15" hidden="false" customHeight="false" outlineLevel="0" collapsed="false">
      <c r="A131" s="11" t="str">
        <f aca="false">IF('Running Order'!B131="Y",IF('Running Order'!K131="","MISSING URL: "&amp;'Running Order'!C131,'Running Order'!K131),"")</f>
        <v>MISSING URL: Abenas Special Ebubuebunu Soup</v>
      </c>
    </row>
    <row r="132" customFormat="false" ht="15" hidden="false" customHeight="false" outlineLevel="0" collapsed="false">
      <c r="A132" s="11" t="str">
        <f aca="false">IF('Running Order'!B132="Y",IF('Running Order'!K132="","MISSING URL: "&amp;'Running Order'!C132,'Running Order'!K132),"")</f>
        <v>MISSING URL: CHANNEL MONTAGE</v>
      </c>
    </row>
    <row r="133" customFormat="false" ht="15" hidden="false" customHeight="false" outlineLevel="0" collapsed="false">
      <c r="A133" s="11" t="str">
        <f aca="false">IF('Running Order'!B133="Y",IF('Running Order'!K133="","MISSING URL: "&amp;'Running Order'!C133,'Running Order'!K133),"")</f>
        <v>MISSING URL: Knorr Good Jollof Smokey Jollof Rice</v>
      </c>
    </row>
    <row r="134" customFormat="false" ht="15" hidden="false" customHeight="false" outlineLevel="0" collapsed="false">
      <c r="A134" s="11" t="str">
        <f aca="false">IF('Running Order'!B134="Y",IF('Running Order'!K134="","MISSING URL: "&amp;'Running Order'!C134,'Running Order'!K134),"")</f>
        <v>MISSING URL: GTCO F&amp;D TV8</v>
      </c>
    </row>
    <row r="135" customFormat="false" ht="15" hidden="false" customHeight="false" outlineLevel="0" collapsed="false">
      <c r="A135" s="11" t="str">
        <f aca="false">IF('Running Order'!B135="Y",IF('Running Order'!K135="","MISSING URL: "&amp;'Running Order'!C135,'Running Order'!K135),"")</f>
        <v>MISSING URL: Be a Fressia Millionaire</v>
      </c>
    </row>
    <row r="136" customFormat="false" ht="15" hidden="false" customHeight="false" outlineLevel="0" collapsed="false">
      <c r="A136" s="11" t="str">
        <f aca="false">IF('Running Order'!B136="Y",IF('Running Order'!K136="","MISSING URL: "&amp;'Running Order'!C136,'Running Order'!K136),"")</f>
        <v>MISSING URL: TATTASE TV STING</v>
      </c>
    </row>
    <row r="137" customFormat="false" ht="15" hidden="false" customHeight="false" outlineLevel="0" collapsed="false">
      <c r="A137" s="11" t="str">
        <f aca="false">IF('Running Order'!B137="Y",IF('Running Order'!K137="","MISSING URL: "&amp;'Running Order'!C137,'Running Order'!K137),"")</f>
        <v>MISSING URL: HEN_FULL VIDEO FOR TV FINAL</v>
      </c>
    </row>
    <row r="138" customFormat="false" ht="15" hidden="false" customHeight="false" outlineLevel="0" collapsed="false">
      <c r="A138" s="11" t="str">
        <f aca="false">IF('Running Order'!B138="Y",IF('Running Order'!K138="","MISSING URL: "&amp;'Running Order'!C138,'Running Order'!K138),"")</f>
        <v>MISSING URL: TATTASE TV STING</v>
      </c>
    </row>
    <row r="139" customFormat="false" ht="15" hidden="false" customHeight="false" outlineLevel="0" collapsed="false">
      <c r="A139" s="11" t="str">
        <f aca="false">IF('Running Order'!B139="Y",IF('Running Order'!K139="","MISSING URL: "&amp;'Running Order'!C139,'Running Order'!K139),"")</f>
        <v>MISSING URL: TECNO FOOD WITH TIWA SAVAGE real</v>
      </c>
    </row>
    <row r="140" customFormat="false" ht="15" hidden="false" customHeight="false" outlineLevel="0" collapsed="false">
      <c r="A140" s="11" t="str">
        <f aca="false">IF('Running Order'!B140="Y",IF('Running Order'!K140="","MISSING URL: "&amp;'Running Order'!C140,'Running Order'!K140),"")</f>
        <v>MISSING URL: RITE FOODS SAUSAGE ROLLS for tv</v>
      </c>
    </row>
    <row r="141" customFormat="false" ht="15" hidden="false" customHeight="false" outlineLevel="0" collapsed="false">
      <c r="A141" s="11" t="str">
        <f aca="false">IF('Running Order'!B141="Y",IF('Running Order'!K141="","MISSING URL: "&amp;'Running Order'!C141,'Running Order'!K141),"")</f>
        <v>MISSING URL: CHANNEL MONTAGE</v>
      </c>
    </row>
    <row r="142" customFormat="false" ht="15" hidden="false" customHeight="false" outlineLevel="0" collapsed="false">
      <c r="A142" s="11" t="str">
        <f aca="false">IF('Running Order'!B142="Y",IF('Running Order'!K142="","MISSING URL: "&amp;'Running Order'!C142,'Running Order'!K142),"")</f>
        <v>MISSING URL: PROPAK FOR TV</v>
      </c>
    </row>
    <row r="143" customFormat="false" ht="15" hidden="false" customHeight="false" outlineLevel="0" collapsed="false">
      <c r="A143" s="11" t="str">
        <f aca="false">IF('Running Order'!B143="Y",IF('Running Order'!K143="","MISSING URL: "&amp;'Running Order'!C143,'Running Order'!K143),"")</f>
        <v>MISSING URL: TATTASE TV STING</v>
      </c>
    </row>
    <row r="144" customFormat="false" ht="15" hidden="false" customHeight="false" outlineLevel="0" collapsed="false">
      <c r="A144" s="11" t="str">
        <f aca="false">IF('Running Order'!B144="Y",IF('Running Order'!K144="","MISSING URL: "&amp;'Running Order'!C144,'Running Order'!K144),"")</f>
        <v>MISSING URL: Mamador WIMCA conference</v>
      </c>
    </row>
    <row r="145" customFormat="false" ht="15" hidden="false" customHeight="false" outlineLevel="0" collapsed="false">
      <c r="A145" s="11" t="str">
        <f aca="false">IF('Running Order'!B145="Y",IF('Running Order'!K145="","MISSING URL: "&amp;'Running Order'!C145,'Running Order'!K145),"")</f>
        <v>MISSING URL: MAGII O TA LENU SEASON 1 TRAILER</v>
      </c>
    </row>
    <row r="146" customFormat="false" ht="15" hidden="false" customHeight="false" outlineLevel="0" collapsed="false">
      <c r="A146" s="11" t="str">
        <f aca="false">IF('Running Order'!B146="Y",IF('Running Order'!K146="","MISSING URL: "&amp;'Running Order'!C146,'Running Order'!K146),"")</f>
        <v>MISSING URL: PEPPERSOUP SPICE FILLER FOR TV</v>
      </c>
    </row>
    <row r="147" customFormat="false" ht="15" hidden="false" customHeight="false" outlineLevel="0" collapsed="false">
      <c r="A147" s="11" t="str">
        <f aca="false">IF('Running Order'!B147="Y",IF('Running Order'!K147="","MISSING URL: "&amp;'Running Order'!C147,'Running Order'!K147),"")</f>
        <v>MISSING URL: CHANNEL MONTAGE</v>
      </c>
    </row>
    <row r="148" customFormat="false" ht="15" hidden="false" customHeight="false" outlineLevel="0" collapsed="false">
      <c r="A148" s="11" t="str">
        <f aca="false">IF('Running Order'!B148="Y",IF('Running Order'!K148="","MISSING URL: "&amp;'Running Order'!C148,'Running Order'!K148),"")</f>
        <v>MISSING URL: AGROFOOD DAY 1</v>
      </c>
    </row>
    <row r="149" customFormat="false" ht="15" hidden="false" customHeight="false" outlineLevel="0" collapsed="false">
      <c r="A149" s="11" t="str">
        <f aca="false">IF('Running Order'!B149="Y",IF('Running Order'!K149="","MISSING URL: "&amp;'Running Order'!C149,'Running Order'!K149),"")</f>
        <v>MISSING URL: TATTASE TV STING</v>
      </c>
    </row>
    <row r="150" customFormat="false" ht="15" hidden="false" customHeight="false" outlineLevel="0" collapsed="false">
      <c r="A150" s="11" t="str">
        <f aca="false">IF('Running Order'!B150="Y",IF('Running Order'!K150="","MISSING URL: "&amp;'Running Order'!C150,'Running Order'!K150),"")</f>
        <v>MISSING URL: GOLDEN TERRA OIL</v>
      </c>
    </row>
    <row r="151" customFormat="false" ht="15" hidden="false" customHeight="false" outlineLevel="0" collapsed="false">
      <c r="A151" s="11" t="str">
        <f aca="false">IF('Running Order'!B151="Y",IF('Running Order'!K151="","MISSING URL: "&amp;'Running Order'!C151,'Running Order'!K151),"")</f>
        <v>MISSING URL: kivo-video</v>
      </c>
    </row>
    <row r="152" customFormat="false" ht="15" hidden="false" customHeight="false" outlineLevel="0" collapsed="false">
      <c r="A152" s="11" t="str">
        <f aca="false">IF('Running Order'!B152="Y",IF('Running Order'!K152="","MISSING URL: "&amp;'Running Order'!C152,'Running Order'!K152),"")</f>
        <v>MISSING URL: TATTASE TV STING</v>
      </c>
    </row>
    <row r="153" customFormat="false" ht="15" hidden="false" customHeight="false" outlineLevel="0" collapsed="false">
      <c r="A153" s="11" t="str">
        <f aca="false">IF('Running Order'!B153="Y",IF('Running Order'!K153="","MISSING URL: "&amp;'Running Order'!C153,'Running Order'!K153),"")</f>
        <v>MISSING URL: ONGA GHANA COOKS SEASON 1 EPISODE 1</v>
      </c>
    </row>
    <row r="154" customFormat="false" ht="15" hidden="false" customHeight="false" outlineLevel="0" collapsed="false">
      <c r="A154" s="11" t="str">
        <f aca="false">IF('Running Order'!B154="Y",IF('Running Order'!K154="","MISSING URL: "&amp;'Running Order'!C154,'Running Order'!K154),"")</f>
        <v>MISSING URL: CHANNEL MONTAGE</v>
      </c>
    </row>
    <row r="155" customFormat="false" ht="15" hidden="false" customHeight="false" outlineLevel="0" collapsed="false">
      <c r="A155" s="11" t="str">
        <f aca="false">IF('Running Order'!B155="Y",IF('Running Order'!K155="","MISSING URL: "&amp;'Running Order'!C155,'Running Order'!K155),"")</f>
        <v>MISSING URL: OSETIGO EP1</v>
      </c>
    </row>
    <row r="156" customFormat="false" ht="15" hidden="false" customHeight="false" outlineLevel="0" collapsed="false">
      <c r="A156" s="11" t="str">
        <f aca="false">IF('Running Order'!B156="Y",IF('Running Order'!K156="","MISSING URL: "&amp;'Running Order'!C156,'Running Order'!K156),"")</f>
        <v>MISSING URL: TATTASETV STING</v>
      </c>
    </row>
    <row r="157" customFormat="false" ht="15" hidden="false" customHeight="false" outlineLevel="0" collapsed="false">
      <c r="A157" s="11" t="str">
        <f aca="false">IF('Running Order'!B157="Y",IF('Running Order'!K157="","MISSING URL: "&amp;'Running Order'!C157,'Running Order'!K157),"")</f>
        <v>MISSING URL: DJINEE AT HEMBADOON</v>
      </c>
    </row>
    <row r="158" customFormat="false" ht="15" hidden="false" customHeight="false" outlineLevel="0" collapsed="false">
      <c r="A158" s="11" t="str">
        <f aca="false">IF('Running Order'!B158="Y",IF('Running Order'!K158="","MISSING URL: "&amp;'Running Order'!C158,'Running Order'!K158),"")</f>
        <v>MISSING URL: CULTURATI HIGHLIGHT UPDATE</v>
      </c>
    </row>
    <row r="159" customFormat="false" ht="15" hidden="false" customHeight="false" outlineLevel="0" collapsed="false">
      <c r="A159" s="11" t="str">
        <f aca="false">IF('Running Order'!B159="Y",IF('Running Order'!K159="","MISSING URL: "&amp;'Running Order'!C159,'Running Order'!K159),"")</f>
        <v>MISSING URL: PLANTAIN PEOPLE'S PARTY</v>
      </c>
    </row>
    <row r="160" customFormat="false" ht="15" hidden="false" customHeight="false" outlineLevel="0" collapsed="false">
      <c r="A160" s="11" t="str">
        <f aca="false">IF('Running Order'!B160="Y",IF('Running Order'!K160="","MISSING URL: "&amp;'Running Order'!C160,'Running Order'!K160),"")</f>
        <v>MISSING URL: TATTASE STING</v>
      </c>
    </row>
    <row r="161" customFormat="false" ht="15" hidden="false" customHeight="false" outlineLevel="0" collapsed="false">
      <c r="A161" s="11" t="str">
        <f aca="false">IF('Running Order'!B161="Y",IF('Running Order'!K161="","MISSING URL: "&amp;'Running Order'!C161,'Running Order'!K161),"")</f>
        <v>MISSING URL: SAUSAGE THREADED SPAGHETTI (LONGER VERSION)</v>
      </c>
    </row>
    <row r="162" customFormat="false" ht="15" hidden="false" customHeight="false" outlineLevel="0" collapsed="false">
      <c r="A162" s="11" t="str">
        <f aca="false">IF('Running Order'!B162="Y",IF('Running Order'!K162="","MISSING URL: "&amp;'Running Order'!C162,'Running Order'!K162),"")</f>
        <v>MISSING URL: TATTASE TV STING</v>
      </c>
    </row>
    <row r="163" customFormat="false" ht="15" hidden="false" customHeight="false" outlineLevel="0" collapsed="false">
      <c r="A163" s="11" t="str">
        <f aca="false">IF('Running Order'!B163="Y",IF('Running Order'!K163="","MISSING URL: "&amp;'Running Order'!C163,'Running Order'!K163),"")</f>
        <v>MISSING URL: CHANNEL MONTAGE</v>
      </c>
    </row>
    <row r="164" customFormat="false" ht="15" hidden="false" customHeight="false" outlineLevel="0" collapsed="false">
      <c r="A164" s="11" t="str">
        <f aca="false">IF('Running Order'!B164="Y",IF('Running Order'!K164="","MISSING URL: "&amp;'Running Order'!C164,'Running Order'!K164),"")</f>
        <v>MISSING URL: SPICES OF LOVE Season1 Episode1 Welcome to the Neighbourhood</v>
      </c>
    </row>
    <row r="165" customFormat="false" ht="15" hidden="false" customHeight="false" outlineLevel="0" collapsed="false">
      <c r="A165" s="11" t="str">
        <f aca="false">IF('Running Order'!B165="Y",IF('Running Order'!K165="","MISSING URL: "&amp;'Running Order'!C165,'Running Order'!K165),"")</f>
        <v>MISSING URL: TATTASE TV STING</v>
      </c>
    </row>
    <row r="166" customFormat="false" ht="15" hidden="false" customHeight="false" outlineLevel="0" collapsed="false">
      <c r="A166" s="11" t="str">
        <f aca="false">IF('Running Order'!B166="Y",IF('Running Order'!K166="","MISSING URL: "&amp;'Running Order'!C166,'Running Order'!K166),"")</f>
        <v>MISSING URL: Visit Lagos Fresh Food HubidiOro Mushin</v>
      </c>
    </row>
    <row r="167" customFormat="false" ht="15" hidden="false" customHeight="false" outlineLevel="0" collapsed="false">
      <c r="A167" s="11" t="str">
        <f aca="false">IF('Running Order'!B167="Y",IF('Running Order'!K167="","MISSING URL: "&amp;'Running Order'!C167,'Running Order'!K167),"")</f>
        <v>MISSING URL: UNILORIN LET'S JOLLOF</v>
      </c>
    </row>
    <row r="168" customFormat="false" ht="15" hidden="false" customHeight="false" outlineLevel="0" collapsed="false">
      <c r="A168" s="11" t="str">
        <f aca="false">IF('Running Order'!B168="Y",IF('Running Order'!K168="","MISSING URL: "&amp;'Running Order'!C168,'Running Order'!K168),"")</f>
        <v>MISSING URL: KNORR PURPOSE TV MOV NEW</v>
      </c>
    </row>
    <row r="169" customFormat="false" ht="15" hidden="false" customHeight="false" outlineLevel="0" collapsed="false">
      <c r="A169" s="11" t="str">
        <f aca="false">IF('Running Order'!B169="Y",IF('Running Order'!K169="","MISSING URL: "&amp;'Running Order'!C169,'Running Order'!K169),"")</f>
        <v>MISSING URL: AFTER DARK COMING SOON REAL</v>
      </c>
    </row>
    <row r="170" customFormat="false" ht="15" hidden="false" customHeight="false" outlineLevel="0" collapsed="false">
      <c r="A170" s="11" t="str">
        <f aca="false">IF('Running Order'!B170="Y",IF('Running Order'!K170="","MISSING URL: "&amp;'Running Order'!C170,'Running Order'!K170),"")</f>
        <v>MISSING URL: CHANNEL MONTAGE</v>
      </c>
    </row>
    <row r="171" customFormat="false" ht="15" hidden="false" customHeight="false" outlineLevel="0" collapsed="false">
      <c r="A171" s="11" t="str">
        <f aca="false">IF('Running Order'!B171="Y",IF('Running Order'!K171="","MISSING URL: "&amp;'Running Order'!C171,'Running Order'!K171),"")</f>
        <v>MISSING URL: Fried Rice with Oven Roasted Fish and Moimoi AJINOMOTO 247 Episode11</v>
      </c>
    </row>
    <row r="172" customFormat="false" ht="15" hidden="false" customHeight="false" outlineLevel="0" collapsed="false">
      <c r="A172" s="11" t="str">
        <f aca="false">IF('Running Order'!B172="Y",IF('Running Order'!K172="","MISSING URL: "&amp;'Running Order'!C172,'Running Order'!K172),"")</f>
        <v>MISSING URL: TECNO FOOD WITH TIWA SAVAGE real</v>
      </c>
    </row>
    <row r="173" customFormat="false" ht="15" hidden="false" customHeight="false" outlineLevel="0" collapsed="false">
      <c r="A173" s="11" t="str">
        <f aca="false">IF('Running Order'!B173="Y",IF('Running Order'!K173="","MISSING URL: "&amp;'Running Order'!C173,'Running Order'!K173),"")</f>
        <v>MISSING URL: Sonia Tomato Mix</v>
      </c>
    </row>
    <row r="174" customFormat="false" ht="15" hidden="false" customHeight="false" outlineLevel="0" collapsed="false">
      <c r="A174" s="11" t="str">
        <f aca="false">IF('Running Order'!B174="Y",IF('Running Order'!K174="","MISSING URL: "&amp;'Running Order'!C174,'Running Order'!K174),"")</f>
        <v>MISSING URL: CHANNEL MONTAGE</v>
      </c>
    </row>
    <row r="175" customFormat="false" ht="15" hidden="false" customHeight="false" outlineLevel="0" collapsed="false">
      <c r="A175" s="11" t="str">
        <f aca="false">IF('Running Order'!B175="Y",IF('Running Order'!K175="","MISSING URL: "&amp;'Running Order'!C175,'Running Order'!K175),"")</f>
        <v>MISSING URL: CALABAR FOOD with UYAI (NO BRAND) PROMO</v>
      </c>
    </row>
    <row r="176" customFormat="false" ht="15" hidden="false" customHeight="false" outlineLevel="0" collapsed="false">
      <c r="A176" s="11" t="str">
        <f aca="false">IF('Running Order'!B176="Y",IF('Running Order'!K176="","MISSING URL: "&amp;'Running Order'!C176,'Running Order'!K176),"")</f>
        <v>MISSING URL: DRONE 9JA PLASTPRINTPACK</v>
      </c>
    </row>
    <row r="177" customFormat="false" ht="15" hidden="false" customHeight="false" outlineLevel="0" collapsed="false">
      <c r="A177" s="11" t="str">
        <f aca="false">IF('Running Order'!B177="Y",IF('Running Order'!K177="","MISSING URL: "&amp;'Running Order'!C177,'Running Order'!K177),"")</f>
        <v>MISSING URL: FAYROUZ</v>
      </c>
    </row>
    <row r="178" customFormat="false" ht="15" hidden="false" customHeight="false" outlineLevel="0" collapsed="false">
      <c r="A178" s="11" t="str">
        <f aca="false">IF('Running Order'!B178="Y",IF('Running Order'!K178="","MISSING URL: "&amp;'Running Order'!C178,'Running Order'!K178),"")</f>
        <v>MISSING URL: CHANNEL MONTAGE</v>
      </c>
    </row>
    <row r="179" customFormat="false" ht="15" hidden="false" customHeight="false" outlineLevel="0" collapsed="false">
      <c r="A179" s="11" t="str">
        <f aca="false">IF('Running Order'!B179="Y",IF('Running Order'!K179="","MISSING URL: "&amp;'Running Order'!C179,'Running Order'!K179),"")</f>
        <v>MISSING URL: Maggi Diaries Season 3 Episode 2</v>
      </c>
    </row>
    <row r="180" customFormat="false" ht="15" hidden="false" customHeight="false" outlineLevel="0" collapsed="false">
      <c r="A180" s="11" t="str">
        <f aca="false">IF('Running Order'!B180="Y",IF('Running Order'!K180="","MISSING URL: "&amp;'Running Order'!C180,'Running Order'!K180),"")</f>
        <v>MISSING URL: Shayo - Full Montage</v>
      </c>
    </row>
    <row r="181" customFormat="false" ht="15" hidden="false" customHeight="false" outlineLevel="0" collapsed="false">
      <c r="A181" s="11" t="str">
        <f aca="false">IF('Running Order'!B181="Y",IF('Running Order'!K181="","MISSING URL: "&amp;'Running Order'!C181,'Running Order'!K181),"")</f>
        <v>MISSING URL: SOUPS - Full Montage (3)_1</v>
      </c>
    </row>
    <row r="182" customFormat="false" ht="15" hidden="false" customHeight="false" outlineLevel="0" collapsed="false">
      <c r="A182" s="11" t="str">
        <f aca="false">IF('Running Order'!B182="Y",IF('Running Order'!K182="","MISSING URL: "&amp;'Running Order'!C182,'Running Order'!K182),"")</f>
        <v>MISSING URL: GOODNESS KITCHEN WITH CHEF T</v>
      </c>
    </row>
    <row r="183" customFormat="false" ht="15" hidden="false" customHeight="false" outlineLevel="0" collapsed="false">
      <c r="A183" s="11" t="str">
        <f aca="false">IF('Running Order'!B183="Y",IF('Running Order'!K183="","MISSING URL: "&amp;'Running Order'!C183,'Running Order'!K183),"")</f>
        <v>MISSING URL: TATTASE TV STING</v>
      </c>
    </row>
    <row r="184" customFormat="false" ht="15" hidden="false" customHeight="false" outlineLevel="0" collapsed="false">
      <c r="A184" s="11" t="str">
        <f aca="false">IF('Running Order'!B184="Y",IF('Running Order'!K184="","MISSING URL: "&amp;'Running Order'!C184,'Running Order'!K184),"")</f>
        <v>MISSING URL: BOYS CAN COOK TV SHOW OPENING MONTAGE</v>
      </c>
    </row>
    <row r="185" customFormat="false" ht="15" hidden="false" customHeight="false" outlineLevel="0" collapsed="false">
      <c r="A185" s="11" t="str">
        <f aca="false">IF('Running Order'!B185="Y",IF('Running Order'!K185="","MISSING URL: "&amp;'Running Order'!C185,'Running Order'!K185),"")</f>
        <v>MISSING URL: TWISCO AMVCA</v>
      </c>
    </row>
    <row r="186" customFormat="false" ht="15" hidden="false" customHeight="false" outlineLevel="0" collapsed="false">
      <c r="A186" s="11" t="str">
        <f aca="false">IF('Running Order'!B186="Y",IF('Running Order'!K186="","MISSING URL: "&amp;'Running Order'!C186,'Running Order'!K186),"")</f>
        <v>MISSING URL: CHANNEL MONTAGE</v>
      </c>
    </row>
    <row r="187" customFormat="false" ht="15" hidden="false" customHeight="false" outlineLevel="0" collapsed="false">
      <c r="A187" s="11" t="str">
        <f aca="false">IF('Running Order'!B187="Y",IF('Running Order'!K187="","MISSING URL: "&amp;'Running Order'!C187,'Running Order'!K187),"")</f>
        <v>MISSING URL: How to Make Okro soup with Mr. Chef</v>
      </c>
    </row>
    <row r="188" customFormat="false" ht="15" hidden="false" customHeight="false" outlineLevel="0" collapsed="false">
      <c r="A188" s="11" t="str">
        <f aca="false">IF('Running Order'!B188="Y",IF('Running Order'!K188="","MISSING URL: "&amp;'Running Order'!C188,'Running Order'!K188),"")</f>
        <v>MISSING URL: CHIVITA ADVERT WITHOUT LOGO</v>
      </c>
    </row>
    <row r="189" customFormat="false" ht="15" hidden="false" customHeight="false" outlineLevel="0" collapsed="false">
      <c r="A189" s="11" t="str">
        <f aca="false">IF('Running Order'!B189="Y",IF('Running Order'!K189="","MISSING URL: "&amp;'Running Order'!C189,'Running Order'!K189),"")</f>
        <v>MISSING URL: TATTASE TV STING</v>
      </c>
    </row>
    <row r="190" customFormat="false" ht="15" hidden="false" customHeight="false" outlineLevel="0" collapsed="false">
      <c r="A190" s="11" t="str">
        <f aca="false">IF('Running Order'!B190="Y",IF('Running Order'!K190="","MISSING URL: "&amp;'Running Order'!C190,'Running Order'!K190),"")</f>
        <v>MISSING URL: DONE STREET FOOD TOUR MR ROLAND (ISLANDER BARBEQUE)</v>
      </c>
    </row>
    <row r="191" customFormat="false" ht="15" hidden="false" customHeight="false" outlineLevel="0" collapsed="false">
      <c r="A191" s="11" t="str">
        <f aca="false">IF('Running Order'!B191="Y",IF('Running Order'!K191="","MISSING URL: "&amp;'Running Order'!C191,'Running Order'!K191),"")</f>
        <v>MISSING URL: FAYROUZ</v>
      </c>
    </row>
    <row r="192" customFormat="false" ht="15" hidden="false" customHeight="false" outlineLevel="0" collapsed="false">
      <c r="A192" s="11" t="str">
        <f aca="false">IF('Running Order'!B192="Y",IF('Running Order'!K192="","MISSING URL: "&amp;'Running Order'!C192,'Running Order'!K192),"")</f>
        <v>MISSING URL: TATTASE TV STING</v>
      </c>
    </row>
    <row r="193" customFormat="false" ht="15" hidden="false" customHeight="false" outlineLevel="0" collapsed="false">
      <c r="A193" s="11" t="str">
        <f aca="false">IF('Running Order'!B193="Y",IF('Running Order'!K193="","MISSING URL: "&amp;'Running Order'!C193,'Running Order'!K193),"")</f>
        <v>MISSING URL: MERCYS MENU SEASON 2 EPISODE 1 TAAOOMA COCONUT NOODLES</v>
      </c>
    </row>
    <row r="194" customFormat="false" ht="15" hidden="false" customHeight="false" outlineLevel="0" collapsed="false">
      <c r="A194" s="11" t="str">
        <f aca="false">IF('Running Order'!B194="Y",IF('Running Order'!K194="","MISSING URL: "&amp;'Running Order'!C194,'Running Order'!K194),"")</f>
        <v>MISSING URL: TATTASE TV STING</v>
      </c>
    </row>
    <row r="195" customFormat="false" ht="15" hidden="false" customHeight="false" outlineLevel="0" collapsed="false">
      <c r="A195" s="11" t="str">
        <f aca="false">IF('Running Order'!B195="Y",IF('Running Order'!K195="","MISSING URL: "&amp;'Running Order'!C195,'Running Order'!K195),"")</f>
        <v>MISSING URL: TERRA CUBE COMMERCIAL</v>
      </c>
    </row>
    <row r="196" customFormat="false" ht="15" hidden="false" customHeight="false" outlineLevel="0" collapsed="false">
      <c r="A196" s="11" t="str">
        <f aca="false">IF('Running Order'!B196="Y",IF('Running Order'!K196="","MISSING URL: "&amp;'Running Order'!C196,'Running Order'!K196),"")</f>
        <v>MISSING URL: the new Ayoola Poundo Yam Packs</v>
      </c>
    </row>
    <row r="197" customFormat="false" ht="15" hidden="false" customHeight="false" outlineLevel="0" collapsed="false">
      <c r="A197" s="11" t="str">
        <f aca="false">IF('Running Order'!B197="Y",IF('Running Order'!K197="","MISSING URL: "&amp;'Running Order'!C197,'Running Order'!K197),"")</f>
        <v>MISSING URL: TATTASE TV STING</v>
      </c>
    </row>
    <row r="198" customFormat="false" ht="15" hidden="false" customHeight="false" outlineLevel="0" collapsed="false">
      <c r="A198" s="11" t="str">
        <f aca="false">IF('Running Order'!B198="Y",IF('Running Order'!K198="","MISSING URL: "&amp;'Running Order'!C198,'Running Order'!K198),"")</f>
        <v>MISSING URL: GOLDEN PENNY SOUP FEST</v>
      </c>
    </row>
    <row r="199" customFormat="false" ht="15" hidden="false" customHeight="false" outlineLevel="0" collapsed="false">
      <c r="A199" s="11" t="str">
        <f aca="false">IF('Running Order'!B199="Y",IF('Running Order'!K199="","MISSING URL: "&amp;'Running Order'!C199,'Running Order'!K199),"")</f>
        <v>MISSING URL: WHAT'S COOKING TRAILER 1</v>
      </c>
    </row>
    <row r="200" customFormat="false" ht="15" hidden="false" customHeight="false" outlineLevel="0" collapsed="false">
      <c r="A200" s="11" t="str">
        <f aca="false">IF('Running Order'!B200="Y",IF('Running Order'!K200="","MISSING URL: "&amp;'Running Order'!C200,'Running Order'!K200),"")</f>
        <v>MISSING URL: CHANNEL MONTAGE</v>
      </c>
    </row>
    <row r="201" customFormat="false" ht="15" hidden="false" customHeight="false" outlineLevel="0" collapsed="false">
      <c r="A201" s="11" t="str">
        <f aca="false">IF('Running Order'!B201="Y",IF('Running Order'!K201="","MISSING URL: "&amp;'Running Order'!C201,'Running Order'!K201),"")</f>
        <v>MISSING URL: AKWAABA DAY1</v>
      </c>
    </row>
    <row r="202" customFormat="false" ht="15" hidden="false" customHeight="false" outlineLevel="0" collapsed="false">
      <c r="A202" s="11" t="str">
        <f aca="false">IF('Running Order'!B202="Y",IF('Running Order'!K202="","MISSING URL: "&amp;'Running Order'!C202,'Running Order'!K202),"")</f>
        <v>MISSING URL: CHANNEL MONTAGE</v>
      </c>
    </row>
    <row r="203" customFormat="false" ht="15" hidden="false" customHeight="false" outlineLevel="0" collapsed="false">
      <c r="A203" s="11" t="str">
        <f aca="false">IF('Running Order'!B203="Y",IF('Running Order'!K203="","MISSING URL: "&amp;'Running Order'!C203,'Running Order'!K203),"")</f>
        <v>MISSING URL: New and Improved Gino Max Chicken Cubes</v>
      </c>
    </row>
    <row r="204" customFormat="false" ht="15" hidden="false" customHeight="false" outlineLevel="0" collapsed="false">
      <c r="A204" s="11" t="str">
        <f aca="false">IF('Running Order'!B204="Y",IF('Running Order'!K204="","MISSING URL: "&amp;'Running Order'!C204,'Running Order'!K204),"")</f>
        <v>MISSING URL: Kivo Hot Pepper Commercial</v>
      </c>
    </row>
    <row r="205" customFormat="false" ht="15" hidden="false" customHeight="false" outlineLevel="0" collapsed="false">
      <c r="A205" s="11" t="str">
        <f aca="false">IF('Running Order'!B205="Y",IF('Running Order'!K205="","MISSING URL: "&amp;'Running Order'!C205,'Running Order'!K205),"")</f>
        <v>MISSING URL: TATTASE TV STING</v>
      </c>
    </row>
    <row r="206" customFormat="false" ht="15" hidden="false" customHeight="false" outlineLevel="0" collapsed="false">
      <c r="A206" s="11" t="str">
        <f aca="false">IF('Running Order'!B206="Y",IF('Running Order'!K206="","MISSING URL: "&amp;'Running Order'!C206,'Running Order'!K206),"")</f>
        <v>MISSING URL: KNORR CELEBRITY TAKEOUT SEASON 1 EPISODE 1</v>
      </c>
    </row>
    <row r="207" customFormat="false" ht="15" hidden="false" customHeight="false" outlineLevel="0" collapsed="false">
      <c r="A207" s="11" t="str">
        <f aca="false">IF('Running Order'!B207="Y",IF('Running Order'!K207="","MISSING URL: "&amp;'Running Order'!C207,'Running Order'!K207),"")</f>
        <v>MISSING URL: TATTASE TV STING</v>
      </c>
    </row>
    <row r="208" customFormat="false" ht="15" hidden="false" customHeight="false" outlineLevel="0" collapsed="false">
      <c r="A208" s="11" t="str">
        <f aca="false">IF('Running Order'!B208="Y",IF('Running Order'!K208="","MISSING URL: "&amp;'Running Order'!C208,'Running Order'!K208),"")</f>
        <v>MISSING URL: AFTER DARK COMING SOON</v>
      </c>
    </row>
    <row r="209" customFormat="false" ht="15" hidden="false" customHeight="false" outlineLevel="0" collapsed="false">
      <c r="A209" s="11" t="str">
        <f aca="false">IF('Running Order'!B209="Y",IF('Running Order'!K209="","MISSING URL: "&amp;'Running Order'!C209,'Running Order'!K209),"")</f>
        <v>MISSING URL: HOTEL EXPO 2023 SHORT VIDEO FOR TV</v>
      </c>
    </row>
    <row r="210" customFormat="false" ht="15" hidden="false" customHeight="false" outlineLevel="0" collapsed="false">
      <c r="A210" s="11" t="str">
        <f aca="false">IF('Running Order'!B210="Y",IF('Running Order'!K210="","MISSING URL: "&amp;'Running Order'!C210,'Running Order'!K210),"")</f>
        <v>MISSING URL: CHANNEL MONTAGE</v>
      </c>
    </row>
    <row r="211" customFormat="false" ht="15" hidden="false" customHeight="false" outlineLevel="0" collapsed="false">
      <c r="A211" s="11" t="str">
        <f aca="false">IF('Running Order'!B211="Y",IF('Running Order'!K211="","MISSING URL: "&amp;'Running Order'!C211,'Running Order'!K211),"")</f>
        <v>MISSING URL: BAKE THAT CAKE WITH DRIPPLES - S01E03 _ THE LION KING</v>
      </c>
    </row>
    <row r="212" customFormat="false" ht="15" hidden="false" customHeight="false" outlineLevel="0" collapsed="false">
      <c r="A212" s="11" t="str">
        <f aca="false">IF('Running Order'!B212="Y",IF('Running Order'!K212="","MISSING URL: "&amp;'Running Order'!C212,'Running Order'!K212),"")</f>
        <v>MISSING URL: T ATTASE TV STING</v>
      </c>
    </row>
    <row r="213" customFormat="false" ht="15" hidden="false" customHeight="false" outlineLevel="0" collapsed="false">
      <c r="A213" s="11" t="str">
        <f aca="false">IF('Running Order'!B213="Y",IF('Running Order'!K213="","MISSING URL: "&amp;'Running Order'!C213,'Running Order'!K213),"")</f>
        <v>MISSING URL: AJINOMOTO - TOMATO STEW N WHITE RICE</v>
      </c>
    </row>
    <row r="214" customFormat="false" ht="15" hidden="false" customHeight="false" outlineLevel="0" collapsed="false">
      <c r="A214" s="11" t="str">
        <f aca="false">IF('Running Order'!B214="Y",IF('Running Order'!K214="","MISSING URL: "&amp;'Running Order'!C214,'Running Order'!K214),"")</f>
        <v>MISSING URL: SANKOFA NATURAL SPICES PROMO</v>
      </c>
    </row>
    <row r="215" customFormat="false" ht="15" hidden="false" customHeight="false" outlineLevel="0" collapsed="false">
      <c r="A215" s="11" t="str">
        <f aca="false">IF('Running Order'!B215="Y",IF('Running Order'!K215="","MISSING URL: "&amp;'Running Order'!C215,'Running Order'!K215),"")</f>
        <v>MISSING URL: NASCO IWD</v>
      </c>
    </row>
    <row r="216" customFormat="false" ht="15" hidden="false" customHeight="false" outlineLevel="0" collapsed="false">
      <c r="A216" s="11" t="str">
        <f aca="false">IF('Running Order'!B216="Y",IF('Running Order'!K216="","MISSING URL: "&amp;'Running Order'!C216,'Running Order'!K216),"")</f>
        <v>MISSING URL: TATTASE TV STING</v>
      </c>
    </row>
    <row r="217" customFormat="false" ht="15" hidden="false" customHeight="false" outlineLevel="0" collapsed="false">
      <c r="A217" s="11" t="str">
        <f aca="false">IF('Running Order'!B217="Y",IF('Running Order'!K217="","MISSING URL: "&amp;'Running Order'!C217,'Running Order'!K217),"")</f>
        <v>MISSING URL: Kings Dorm Season 2 Episode 1</v>
      </c>
    </row>
    <row r="218" customFormat="false" ht="15" hidden="false" customHeight="false" outlineLevel="0" collapsed="false">
      <c r="A218" s="11" t="str">
        <f aca="false">IF('Running Order'!B218="Y",IF('Running Order'!K218="","MISSING URL: "&amp;'Running Order'!C218,'Running Order'!K218),"")</f>
        <v>MISSING URL: TATTASE TV STING</v>
      </c>
    </row>
    <row r="219" customFormat="false" ht="15" hidden="false" customHeight="false" outlineLevel="0" collapsed="false">
      <c r="A219" s="11" t="str">
        <f aca="false">IF('Running Order'!B219="Y",IF('Running Order'!K219="","MISSING URL: "&amp;'Running Order'!C219,'Running Order'!K219),"")</f>
        <v>MISSING URL: SPAGHETTI QUICHE (Longer Version)</v>
      </c>
    </row>
    <row r="220" customFormat="false" ht="15" hidden="false" customHeight="false" outlineLevel="0" collapsed="false">
      <c r="A220" s="11" t="str">
        <f aca="false">IF('Running Order'!B220="Y",IF('Running Order'!K220="","MISSING URL: "&amp;'Running Order'!C220,'Running Order'!K220),"")</f>
        <v>MISSING URL: Look What Naa Made With NutriDay Episode 3</v>
      </c>
    </row>
    <row r="221" customFormat="false" ht="15" hidden="false" customHeight="false" outlineLevel="0" collapsed="false">
      <c r="A221" s="11" t="str">
        <f aca="false">IF('Running Order'!B221="Y",IF('Running Order'!K221="","MISSING URL: "&amp;'Running Order'!C221,'Running Order'!K221),"")</f>
        <v>MISSING URL: CHANNEL MONTAGE</v>
      </c>
    </row>
    <row r="222" customFormat="false" ht="15" hidden="false" customHeight="false" outlineLevel="0" collapsed="false">
      <c r="A222" s="11" t="str">
        <f aca="false">IF('Running Order'!B222="Y",IF('Running Order'!K222="","MISSING URL: "&amp;'Running Order'!C222,'Running Order'!K222),"")</f>
        <v>MISSING URL: How I Started My Make-up Brand - Giylah Sanda.</v>
      </c>
    </row>
    <row r="223" customFormat="false" ht="15" hidden="false" customHeight="false" outlineLevel="0" collapsed="false">
      <c r="A223" s="11" t="str">
        <f aca="false">IF('Running Order'!B223="Y",IF('Running Order'!K223="","MISSING URL: "&amp;'Running Order'!C223,'Running Order'!K223),"")</f>
        <v>MISSING URL: Chu Nwakanmas Journey To Greatness</v>
      </c>
    </row>
    <row r="224" customFormat="false" ht="15" hidden="false" customHeight="false" outlineLevel="0" collapsed="false">
      <c r="A224" s="11" t="str">
        <f aca="false">IF('Running Order'!B224="Y",IF('Running Order'!K224="","MISSING URL: "&amp;'Running Order'!C224,'Running Order'!K224),"")</f>
        <v>MISSING URL: CELEB SHOUTOUT</v>
      </c>
    </row>
    <row r="225" customFormat="false" ht="15" hidden="false" customHeight="false" outlineLevel="0" collapsed="false">
      <c r="A225" s="11" t="str">
        <f aca="false">IF('Running Order'!B225="Y",IF('Running Order'!K225="","MISSING URL: "&amp;'Running Order'!C225,'Running Order'!K225),"")</f>
        <v>MISSING URL: CHANNEL MONTAGE</v>
      </c>
    </row>
    <row r="227" customFormat="false" ht="15" hidden="false" customHeight="false" outlineLevel="0" collapsed="false">
      <c r="A227" s="2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2026-09-30T19:34:50Z</dcterms:created>
  <dc:creator>openpyxl</dc:creator>
  <dc:description/>
  <dc:language>en-US</dc:language>
  <cp:lastModifiedBy/>
  <dcterms:modified xsi:type="dcterms:W3CDTF">2026-09-30T19:34:50Z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